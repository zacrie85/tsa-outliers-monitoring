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D:\Users\Jecki Aprinaldi\Downloads\"/>
    </mc:Choice>
  </mc:AlternateContent>
  <xr:revisionPtr revIDLastSave="0" documentId="13_ncr:1_{A8CF6313-EDA1-46BF-8C9F-665CDFCC090F}" xr6:coauthVersionLast="47" xr6:coauthVersionMax="47" xr10:uidLastSave="{00000000-0000-0000-0000-000000000000}"/>
  <bookViews>
    <workbookView xWindow="-120" yWindow="-120" windowWidth="29040" windowHeight="15720" xr2:uid="{6AD200F6-98D9-4417-8729-6B15036087E0}"/>
  </bookViews>
  <sheets>
    <sheet name="Sheet1" sheetId="4" r:id="rId1"/>
    <sheet name="OUTLIERS TSA" sheetId="3" r:id="rId2"/>
  </sheets>
  <definedNames>
    <definedName name="_xlnm._FilterDatabase" localSheetId="1" hidden="1">'OUTLIERS TSA'!$A$2:$O$140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1" i="3" l="1"/>
  <c r="J1" i="3"/>
  <c r="B1" i="3"/>
</calcChain>
</file>

<file path=xl/sharedStrings.xml><?xml version="1.0" encoding="utf-8"?>
<sst xmlns="http://schemas.openxmlformats.org/spreadsheetml/2006/main" count="1456" uniqueCount="421">
  <si>
    <t>No</t>
  </si>
  <si>
    <t>Category BAK</t>
  </si>
  <si>
    <t>Provinsi</t>
  </si>
  <si>
    <t>Kabupaten</t>
  </si>
  <si>
    <t>Kecamatan</t>
  </si>
  <si>
    <t>Kelurahan</t>
  </si>
  <si>
    <t>Kel RW/ SIte Name</t>
  </si>
  <si>
    <t>Desa/Perum</t>
  </si>
  <si>
    <t>Index</t>
  </si>
  <si>
    <t>Homepass</t>
  </si>
  <si>
    <t>ODP</t>
  </si>
  <si>
    <t>REMARKS TSA</t>
  </si>
  <si>
    <t>KLASIFIKASI TSA</t>
  </si>
  <si>
    <t>PIC TSA</t>
  </si>
  <si>
    <t>REMARKS JLM</t>
  </si>
  <si>
    <t>salah alamat</t>
  </si>
  <si>
    <t>putri</t>
  </si>
  <si>
    <t>1.5 SALAH KETERANGAN RW/KEL/KEC/KAB</t>
  </si>
  <si>
    <t>TIDAK ADA ASET</t>
  </si>
  <si>
    <t>no aset</t>
  </si>
  <si>
    <t>1.2 TIDAK ADA KETERANGAN ASET JLM PADA KMZ</t>
  </si>
  <si>
    <t>MENOLAK TTD</t>
  </si>
  <si>
    <t>menolak</t>
  </si>
  <si>
    <t>PERLU INFO DETAIL ALASAN MENOLAK</t>
  </si>
  <si>
    <t>pak abas</t>
  </si>
  <si>
    <t>SALAH ALAMAT</t>
  </si>
  <si>
    <t>1.1 AREA TIDAK TERIDENTIFIKASI</t>
  </si>
  <si>
    <t>raka</t>
  </si>
  <si>
    <t>Faktor JLM &amp; AMT</t>
  </si>
  <si>
    <t>NOVASI (ADA ASET)</t>
  </si>
  <si>
    <t>fajar</t>
  </si>
  <si>
    <t>MENOLAK BERTEMU</t>
  </si>
  <si>
    <t>wildan</t>
  </si>
  <si>
    <t>rinjani</t>
  </si>
  <si>
    <t xml:space="preserve">MINTA SEMUA PERMIT &amp; PUPR </t>
  </si>
  <si>
    <t xml:space="preserve">MINTA PERIJINAN DARI PUPR </t>
  </si>
  <si>
    <t>TIDAK ADA IZIN</t>
  </si>
  <si>
    <t>pak marsidi</t>
  </si>
  <si>
    <t>MEMINTA 15% DARI KEUNTUNGAN BENTFIT, DAN MEMINTA TTD DARI JLM DAN AMT</t>
  </si>
  <si>
    <t>REQUEST REVENUE SHAING 15%</t>
  </si>
  <si>
    <t>PIHAK RW SE KELURAHAN SUKABAKTI PERNAH ADA MASALAH SAMA ASIANET, JADI BELUM MAU TTD</t>
  </si>
  <si>
    <t>wawi</t>
  </si>
  <si>
    <t>rama</t>
  </si>
  <si>
    <t>fraud</t>
  </si>
  <si>
    <t>HARUS PERMIT DARI AWAL</t>
  </si>
  <si>
    <t>BOJONG MENTENG MASUK KEC, RAWALUMBU
RW05 BOJONG MENTENG  ADA ASET (KABEL FEEDER)</t>
  </si>
  <si>
    <t>SALAH ALAMAT TIDAK KETEMU BOJONG NANGKA KAVLING BUKIT GOLF</t>
  </si>
  <si>
    <t>MAU BERTEMU ATASAN JLM DAN AMT</t>
  </si>
  <si>
    <t>MENOLAK TTD/PERUM PASPAMPRES</t>
  </si>
  <si>
    <t>ADA ASET</t>
  </si>
  <si>
    <t>No aset</t>
  </si>
  <si>
    <t>PAK RW INFO SALAH ALAMAT, KP.SETU ITU DI MEKARWANGI RW14 BUKAN CIBADAK</t>
  </si>
  <si>
    <t>MENOLAK TTD, MINTA BAK LAMA</t>
  </si>
  <si>
    <t>VILLA BOGOR INDAH</t>
  </si>
  <si>
    <t>PERUMAHAN TAMANSARI PURI BALI</t>
  </si>
  <si>
    <t>MINTA SURAT RESMI</t>
  </si>
  <si>
    <t>pak abbas</t>
  </si>
  <si>
    <t>ussy</t>
  </si>
  <si>
    <t>SALAH ALAMAT, MERASA TIDAK ADA BNETFIT DI DAERAHNYA</t>
  </si>
  <si>
    <t>SALAH ALAMAT. INFO DARI PAKRW LIMUSNUNGGAL MASUK KEC.CILEUNGSI BUKAN KEC.BANTAR GERBANG</t>
  </si>
  <si>
    <t>SALAH ALAMAT RUKO INI MASUKNYA DI RW 09</t>
  </si>
  <si>
    <t>ardita</t>
  </si>
  <si>
    <t xml:space="preserve">ALAMAT TIDAK JELAS DIDATA EXCEL </t>
  </si>
  <si>
    <t>arahim</t>
  </si>
  <si>
    <t>SALAH ALAMAT PERUMAHAN GRIYA YASA TIDAK ADA DI PASIR JAYA NAMUN DI PASIR GADUNG</t>
  </si>
  <si>
    <t xml:space="preserve">DUGAAN PEMALSUAN TTD DAN CAP RW </t>
  </si>
  <si>
    <t>Jawa Barat</t>
  </si>
  <si>
    <t>NOODP</t>
  </si>
  <si>
    <t>Depok</t>
  </si>
  <si>
    <t>Jawa Tengah</t>
  </si>
  <si>
    <t>Banyumas</t>
  </si>
  <si>
    <t>Bekasi</t>
  </si>
  <si>
    <t>Bantar Gebang</t>
  </si>
  <si>
    <t>Semarang</t>
  </si>
  <si>
    <t>Mranggen</t>
  </si>
  <si>
    <t>Bojong Gede</t>
  </si>
  <si>
    <t>Bogor Barat</t>
  </si>
  <si>
    <t>Candisari</t>
  </si>
  <si>
    <t>Candi</t>
  </si>
  <si>
    <t>Tapos</t>
  </si>
  <si>
    <t>Sukaraja</t>
  </si>
  <si>
    <t>Mustika Jaya</t>
  </si>
  <si>
    <t>Cimuning</t>
  </si>
  <si>
    <t>Cibinong</t>
  </si>
  <si>
    <t>Kembaran</t>
  </si>
  <si>
    <t>Dukuhwaluh</t>
  </si>
  <si>
    <t>Kaliwungu</t>
  </si>
  <si>
    <t>Garung Lor</t>
  </si>
  <si>
    <t>Genuk</t>
  </si>
  <si>
    <t>Banjardowo</t>
  </si>
  <si>
    <t>Jomblang</t>
  </si>
  <si>
    <t>Gunung Putri</t>
  </si>
  <si>
    <t>Sokaraja</t>
  </si>
  <si>
    <t>Karangnanas</t>
  </si>
  <si>
    <t>Semarang Selatan</t>
  </si>
  <si>
    <t>Lamper Kidul</t>
  </si>
  <si>
    <t>Ledug</t>
  </si>
  <si>
    <t>Pedurungan</t>
  </si>
  <si>
    <t>Banten</t>
  </si>
  <si>
    <t>Tangerang</t>
  </si>
  <si>
    <t>Tigaraksa</t>
  </si>
  <si>
    <t>Plamongansari</t>
  </si>
  <si>
    <t>Pancoran Mas</t>
  </si>
  <si>
    <t>Kemang</t>
  </si>
  <si>
    <t>Asrama Atang Sanjaya Blok A</t>
  </si>
  <si>
    <t>Demak</t>
  </si>
  <si>
    <t>Curug</t>
  </si>
  <si>
    <t>Sukabakti</t>
  </si>
  <si>
    <t>Bogor Utara</t>
  </si>
  <si>
    <t>Tengah</t>
  </si>
  <si>
    <t>Ruko Cibinong Griya Asri</t>
  </si>
  <si>
    <t>Tlogosari Kulon</t>
  </si>
  <si>
    <t>Wiradadi</t>
  </si>
  <si>
    <t>Klapanunggal</t>
  </si>
  <si>
    <t>Kab Bogor</t>
  </si>
  <si>
    <t>Cilodong</t>
  </si>
  <si>
    <t>Purwokerto Selatan</t>
  </si>
  <si>
    <t>Berkoh</t>
  </si>
  <si>
    <t>Teluk</t>
  </si>
  <si>
    <t>Semarang Timur</t>
  </si>
  <si>
    <t>Semarang Tengah</t>
  </si>
  <si>
    <t>Kranggan</t>
  </si>
  <si>
    <t>Gajah Mungkur</t>
  </si>
  <si>
    <t>Miroto</t>
  </si>
  <si>
    <t>Palebon</t>
  </si>
  <si>
    <t>Gayamsari</t>
  </si>
  <si>
    <t>Pandean Lamper</t>
  </si>
  <si>
    <t>Sambirejo</t>
  </si>
  <si>
    <t>SIWALAN</t>
  </si>
  <si>
    <t>Sarirejo</t>
  </si>
  <si>
    <t>SARIREJO</t>
  </si>
  <si>
    <t>Tembalang</t>
  </si>
  <si>
    <t>Tandang</t>
  </si>
  <si>
    <t>Cikarang Barat</t>
  </si>
  <si>
    <t>Telajung</t>
  </si>
  <si>
    <t>6 ODP no BAK</t>
  </si>
  <si>
    <t>Kota Bogor</t>
  </si>
  <si>
    <t>Atang Senjaya</t>
  </si>
  <si>
    <t>Atang Senjaya RW 1</t>
  </si>
  <si>
    <t>Atang Senjaya RW 2</t>
  </si>
  <si>
    <t>Atang Senjaya RW 3</t>
  </si>
  <si>
    <t>PERUMAHAN ASRAMA ATANG SANJAYA</t>
  </si>
  <si>
    <t>Atang Senjaya RW 4</t>
  </si>
  <si>
    <t>Banjardowo RW 1</t>
  </si>
  <si>
    <t>Cluster Genuksari</t>
  </si>
  <si>
    <t>Bantar Jati</t>
  </si>
  <si>
    <t>Bantar Jati RW 1</t>
  </si>
  <si>
    <t>Kp Nambo</t>
  </si>
  <si>
    <t>Bogor Timur</t>
  </si>
  <si>
    <t>Baranangsiang</t>
  </si>
  <si>
    <t>Baranangsiang RW 5</t>
  </si>
  <si>
    <t>Kab Kudus</t>
  </si>
  <si>
    <t>Kudus Kota</t>
  </si>
  <si>
    <t>Barongan</t>
  </si>
  <si>
    <t>Barongan RW 1</t>
  </si>
  <si>
    <t>Bhakti</t>
  </si>
  <si>
    <t>Batursari</t>
  </si>
  <si>
    <t>Batursari Sawah</t>
  </si>
  <si>
    <t>Bojong Gede RW 15</t>
  </si>
  <si>
    <t>Bojong Menteng</t>
  </si>
  <si>
    <t>Bojong Menteng RW 5</t>
  </si>
  <si>
    <t>Bojong Nangka Kavling Bukut</t>
  </si>
  <si>
    <t>Bojong Nangka Kavling Bukut Golf</t>
  </si>
  <si>
    <t>Bojong Nangka</t>
  </si>
  <si>
    <t>Bojong Nangka RW 18</t>
  </si>
  <si>
    <t>Perumahan Villa Permata Mas 1</t>
  </si>
  <si>
    <t>Bojong Nangka RW 26</t>
  </si>
  <si>
    <t>Bojong Bojong Nangka</t>
  </si>
  <si>
    <t>Bojongsari</t>
  </si>
  <si>
    <t>Bojongsari RW 5</t>
  </si>
  <si>
    <t>Duren Duren Mekar</t>
  </si>
  <si>
    <t>Setu</t>
  </si>
  <si>
    <t>Burangkeng</t>
  </si>
  <si>
    <t>Burangkeng RW 12</t>
  </si>
  <si>
    <t>Burangkeng RW 13</t>
  </si>
  <si>
    <t>Burangkeng RW 16</t>
  </si>
  <si>
    <t>Burangkeng RW 6</t>
  </si>
  <si>
    <t>Burangkeng RW 9</t>
  </si>
  <si>
    <t>Burikan</t>
  </si>
  <si>
    <t>Burikan RW 1</t>
  </si>
  <si>
    <t>Candi RW 11</t>
  </si>
  <si>
    <t>Tanah Sereal</t>
  </si>
  <si>
    <t>Cibadak</t>
  </si>
  <si>
    <t>Cibadak RW 15</t>
  </si>
  <si>
    <t>Kp Setu Asem</t>
  </si>
  <si>
    <t>Cibinong RW 12</t>
  </si>
  <si>
    <t>Perumahan Visar Indah Pratama 2</t>
  </si>
  <si>
    <t>Cikeas Udik</t>
  </si>
  <si>
    <t>Cikeas Udik RW 24</t>
  </si>
  <si>
    <t>Cikeas Cikeas Udik</t>
  </si>
  <si>
    <t>Ciketing Udik</t>
  </si>
  <si>
    <t>Ciketing Udik RW 1</t>
  </si>
  <si>
    <t>Ciketing Udik RW 5</t>
  </si>
  <si>
    <t>Cimuning RW 15</t>
  </si>
  <si>
    <t>Cimuning RW 23</t>
  </si>
  <si>
    <t>Sawangan</t>
  </si>
  <si>
    <t>Cinangka</t>
  </si>
  <si>
    <t>Cinangka RW 11</t>
  </si>
  <si>
    <t>Ciparigi</t>
  </si>
  <si>
    <t>Ciparigi RW 12</t>
  </si>
  <si>
    <t>Kp Ciparigi</t>
  </si>
  <si>
    <t>Curug RW 12</t>
  </si>
  <si>
    <t>Bojong Sari</t>
  </si>
  <si>
    <t>Curugmekar</t>
  </si>
  <si>
    <t>Curugmekar RW 1</t>
  </si>
  <si>
    <t>Cemplang Cemplang Utara</t>
  </si>
  <si>
    <t>Bae</t>
  </si>
  <si>
    <t>Dersalam</t>
  </si>
  <si>
    <t>Dersalam 015P</t>
  </si>
  <si>
    <t>Perumahan Salam Residence</t>
  </si>
  <si>
    <t>Dersalam RW 2</t>
  </si>
  <si>
    <t>Dersalam RW 3</t>
  </si>
  <si>
    <t>Kp Kaum Pandak</t>
  </si>
  <si>
    <t>Cikupa</t>
  </si>
  <si>
    <t>Dukuh</t>
  </si>
  <si>
    <t>Dukuh RW 5</t>
  </si>
  <si>
    <t>Garung Lor RW 3</t>
  </si>
  <si>
    <t>Kec Kaliwungu</t>
  </si>
  <si>
    <t>Garung Lor RW 4</t>
  </si>
  <si>
    <t>Gayamsari RW 3</t>
  </si>
  <si>
    <t>Gayamsari RW 6</t>
  </si>
  <si>
    <t>Jakarta</t>
  </si>
  <si>
    <t>Jakarta Timur</t>
  </si>
  <si>
    <t>Pasar Rebo</t>
  </si>
  <si>
    <t>Gedong</t>
  </si>
  <si>
    <t>Gedong RW 8</t>
  </si>
  <si>
    <t>Gemah</t>
  </si>
  <si>
    <t>Gemah RW 7</t>
  </si>
  <si>
    <t>Gemah RW 9</t>
  </si>
  <si>
    <t>Glantengan</t>
  </si>
  <si>
    <t>Glantengan RW 4</t>
  </si>
  <si>
    <t>Gondang Manis Pertokoan Depan</t>
  </si>
  <si>
    <t>Gondang Manis Pertokoan Depan Umk</t>
  </si>
  <si>
    <t>Gondang Manis</t>
  </si>
  <si>
    <t>Gondang Manis RW 11</t>
  </si>
  <si>
    <t>Jatimulya</t>
  </si>
  <si>
    <t>Jatimulya RW 7</t>
  </si>
  <si>
    <t>Kp Jatimulya</t>
  </si>
  <si>
    <t>Jepang</t>
  </si>
  <si>
    <t>Jepang RW 10</t>
  </si>
  <si>
    <t>Jomblang RW 12</t>
  </si>
  <si>
    <t>JOMBLANG</t>
  </si>
  <si>
    <t>Kajeksan</t>
  </si>
  <si>
    <t>Kajeksan RW 1</t>
  </si>
  <si>
    <t>Damaran</t>
  </si>
  <si>
    <t>Kalibaru</t>
  </si>
  <si>
    <t>Kalibaru RW 7</t>
  </si>
  <si>
    <t>Kalimulya</t>
  </si>
  <si>
    <t>Kalimulya RW 10</t>
  </si>
  <si>
    <t>Kp Kalimulya</t>
  </si>
  <si>
    <t>Kalimulya RW 11</t>
  </si>
  <si>
    <t>Karang Rejo</t>
  </si>
  <si>
    <t>Karang Rejo RW 4</t>
  </si>
  <si>
    <t>Karangnanas RW 4</t>
  </si>
  <si>
    <t>Karang Nanas</t>
  </si>
  <si>
    <t>Karangtempel</t>
  </si>
  <si>
    <t>Karangtempel RW 2</t>
  </si>
  <si>
    <t>Kebonagung</t>
  </si>
  <si>
    <t>Kebonagung RW 4</t>
  </si>
  <si>
    <t>KEBONAGUNG</t>
  </si>
  <si>
    <t>Kedung Halang</t>
  </si>
  <si>
    <t>Kedung Halang RW 15</t>
  </si>
  <si>
    <t>Kp Tunggilis</t>
  </si>
  <si>
    <t>Kedung Mundu</t>
  </si>
  <si>
    <t>Kedung Mundu RW 5</t>
  </si>
  <si>
    <t>Kedung Waringin</t>
  </si>
  <si>
    <t>Kedung Waringin RW 8</t>
  </si>
  <si>
    <t>Kranggan RW 3</t>
  </si>
  <si>
    <t>Lamper Kidul RW 1</t>
  </si>
  <si>
    <t>Durian</t>
  </si>
  <si>
    <t>Lamper Tengah</t>
  </si>
  <si>
    <t>Lamper Tengah RW 2</t>
  </si>
  <si>
    <t>Langgar Dalem</t>
  </si>
  <si>
    <t>Langgar Dalem RW 3</t>
  </si>
  <si>
    <t>Ledug RW 5</t>
  </si>
  <si>
    <t>Limusnunggal</t>
  </si>
  <si>
    <t>Limusnunggal RW 5</t>
  </si>
  <si>
    <t>Mampang</t>
  </si>
  <si>
    <t>Mampang RW 10</t>
  </si>
  <si>
    <t>Ruko Jl. Sawangan Puri Depok Mas 1 &amp; 2</t>
  </si>
  <si>
    <t>Cileungsi</t>
  </si>
  <si>
    <t>Mampir Perkebunan Coklat Dan</t>
  </si>
  <si>
    <t>Mampir Perkebunan Coklat Dan Sawit</t>
  </si>
  <si>
    <t>Dayeuh</t>
  </si>
  <si>
    <t>Ciomas</t>
  </si>
  <si>
    <t>Mekarjaya</t>
  </si>
  <si>
    <t>Mekarjaya RW 11</t>
  </si>
  <si>
    <t>Mekarsari Citra</t>
  </si>
  <si>
    <t>Mekarsari Citra Land</t>
  </si>
  <si>
    <t>Kp Cilengket</t>
  </si>
  <si>
    <t>Mekarsari Grand Mekarsari</t>
  </si>
  <si>
    <t>Mekarsari Grand Mekarsari Residence</t>
  </si>
  <si>
    <t>Kp Cigarogol</t>
  </si>
  <si>
    <t>Miroto RW 4</t>
  </si>
  <si>
    <t>Mlati Kidul</t>
  </si>
  <si>
    <t>Mlati Kidul RW 1</t>
  </si>
  <si>
    <t>Wergu Kulon</t>
  </si>
  <si>
    <t>Mlati Kidul RW 3</t>
  </si>
  <si>
    <t>Mlati Lor</t>
  </si>
  <si>
    <t>Mlati Lor Perkantoran</t>
  </si>
  <si>
    <t>Mlati Norowito</t>
  </si>
  <si>
    <t>Mlati Norowito RW 2</t>
  </si>
  <si>
    <t>Mustika Sari</t>
  </si>
  <si>
    <t>Mustika Sari RW 10</t>
  </si>
  <si>
    <t>Mustikasari</t>
  </si>
  <si>
    <t>Mustikajaya</t>
  </si>
  <si>
    <t>Mustikajaya RW 32</t>
  </si>
  <si>
    <t>Nanggewer Mekar</t>
  </si>
  <si>
    <t>Nanggewer Mekar RW 8</t>
  </si>
  <si>
    <t>Nanggewer Nanggewer Mekar</t>
  </si>
  <si>
    <t>Nanggewer</t>
  </si>
  <si>
    <t>Nanggewer RW 12</t>
  </si>
  <si>
    <t>Nganguk</t>
  </si>
  <si>
    <t>Nganguk RW 1</t>
  </si>
  <si>
    <t>Ngembal Rejo</t>
  </si>
  <si>
    <t>Ngembal Rejo RW 1</t>
  </si>
  <si>
    <t>Palebon RW 6</t>
  </si>
  <si>
    <t>Tlogo Timur Raya</t>
  </si>
  <si>
    <t>Pamijen</t>
  </si>
  <si>
    <t>Pamijen RW 4</t>
  </si>
  <si>
    <t>Pandean Lamper RW 11</t>
  </si>
  <si>
    <t>PANDEANLAMPER</t>
  </si>
  <si>
    <t>Pandean Lamper RW 3</t>
  </si>
  <si>
    <t>Pandean Lamper RW 9</t>
  </si>
  <si>
    <t>Pasir Jaya</t>
  </si>
  <si>
    <t>Pasir Jaya RW 1</t>
  </si>
  <si>
    <t>Perumahan Griya Yasa</t>
  </si>
  <si>
    <t>Pasir Laja</t>
  </si>
  <si>
    <t>Pasir Laja RW 8</t>
  </si>
  <si>
    <t>Pasirjaya</t>
  </si>
  <si>
    <t>Pengasinan</t>
  </si>
  <si>
    <t>Pengasinan RW 12</t>
  </si>
  <si>
    <t>Pete A</t>
  </si>
  <si>
    <t>Pete A RW</t>
  </si>
  <si>
    <t>Perumahan Puri Permai 1</t>
  </si>
  <si>
    <t>Plamongansari RW 12</t>
  </si>
  <si>
    <t>Plamongansari RW 13</t>
  </si>
  <si>
    <t>Pliken</t>
  </si>
  <si>
    <t>Pliken RW 5</t>
  </si>
  <si>
    <t>Prambatan Lor</t>
  </si>
  <si>
    <t>Prambatan Lor RW 1</t>
  </si>
  <si>
    <t>Prambatan Lor RW 3</t>
  </si>
  <si>
    <t>Kota Kudus</t>
  </si>
  <si>
    <t>Purwosari</t>
  </si>
  <si>
    <t>Purwosari RW 8</t>
  </si>
  <si>
    <t>Ganesha Raya</t>
  </si>
  <si>
    <t>Purwosari RW 9</t>
  </si>
  <si>
    <t>Rejosari Taman</t>
  </si>
  <si>
    <t>Rejosari Taman Rejosari</t>
  </si>
  <si>
    <t>Rendeng</t>
  </si>
  <si>
    <t>Rendeng RW 6</t>
  </si>
  <si>
    <t>Sambirejo Relokasi Pasar</t>
  </si>
  <si>
    <t>Sambirejo Relokasi Pasar Johar</t>
  </si>
  <si>
    <t>SAWAH BESAR</t>
  </si>
  <si>
    <t>Sambirejo RW 3</t>
  </si>
  <si>
    <t>Sambiroto</t>
  </si>
  <si>
    <t>Sambiroto RW 1</t>
  </si>
  <si>
    <t>Sarirejo RW 4</t>
  </si>
  <si>
    <t>Sasak Panjang</t>
  </si>
  <si>
    <t>Sasak Panjang RW 3</t>
  </si>
  <si>
    <t>Kp Ragajaya</t>
  </si>
  <si>
    <t>Sawahbesar Lahan Terbuka (Pkl Sawah</t>
  </si>
  <si>
    <t>Sawahbesar Lahan Terbuka (Pkl Sawah Besar)</t>
  </si>
  <si>
    <t>Sawahbesar</t>
  </si>
  <si>
    <t>Sawahbesar RW 5</t>
  </si>
  <si>
    <t>Sawahbesar RW 8</t>
  </si>
  <si>
    <t>Sendangguwo</t>
  </si>
  <si>
    <t>Sendangguwo RW 1</t>
  </si>
  <si>
    <t>Sendangguwo RW 4</t>
  </si>
  <si>
    <t>Dramaga</t>
  </si>
  <si>
    <t>Sinarsari</t>
  </si>
  <si>
    <t>Sinarsari RW 4</t>
  </si>
  <si>
    <t>Situsari</t>
  </si>
  <si>
    <t>Situsari RW 10</t>
  </si>
  <si>
    <t>Sukabakti RW 10</t>
  </si>
  <si>
    <t>Sukabakti RW 13</t>
  </si>
  <si>
    <t>Sukabakti RW 14</t>
  </si>
  <si>
    <t>Sukabakti RW 3</t>
  </si>
  <si>
    <t>Sukabakti RW 6</t>
  </si>
  <si>
    <t>Sukamaju Baru</t>
  </si>
  <si>
    <t>Sukamaju Baru RW 6</t>
  </si>
  <si>
    <t>Kp Sindangkarsa</t>
  </si>
  <si>
    <t>Talaga Sari</t>
  </si>
  <si>
    <t>Talaga Sari RW 6</t>
  </si>
  <si>
    <t>Taman Sari</t>
  </si>
  <si>
    <t>Taman Sari RW 2</t>
  </si>
  <si>
    <t>Telajung RW 10</t>
  </si>
  <si>
    <t>Telajung RW 5</t>
  </si>
  <si>
    <t>Telajung RW 7</t>
  </si>
  <si>
    <t>Telajung RW 9</t>
  </si>
  <si>
    <t>Teluk RW 5</t>
  </si>
  <si>
    <t>Tengah RW 8</t>
  </si>
  <si>
    <t>Tlogomulyo</t>
  </si>
  <si>
    <t>Tlogomulyo RW 1</t>
  </si>
  <si>
    <t>Tlogosari Wetan</t>
  </si>
  <si>
    <t>Tlogosari Kulon RW 27</t>
  </si>
  <si>
    <t>Tlogosari Kulon RW 7</t>
  </si>
  <si>
    <t>Jati</t>
  </si>
  <si>
    <t>Tumpang Krasak</t>
  </si>
  <si>
    <t>Tumpang Krasak RW 4</t>
  </si>
  <si>
    <t>Wergu Kulon RW 2</t>
  </si>
  <si>
    <t>Wergu Kulon RW 3</t>
  </si>
  <si>
    <t>Wergu Wetan</t>
  </si>
  <si>
    <t>Wergu Wetan RW 3</t>
  </si>
  <si>
    <t>Wergu Wetan RW 4</t>
  </si>
  <si>
    <t>Wiradadi RW 3</t>
  </si>
  <si>
    <t>Wiradadi RW 4</t>
  </si>
  <si>
    <t>Wonodri</t>
  </si>
  <si>
    <t>Wonodri RW 13</t>
  </si>
  <si>
    <t>TIDAK JELAS AREA YANG DIMAKSUD</t>
  </si>
  <si>
    <t>B-CUD2.01-A03 - LOKASI ODP DI CIKETING UDDIK RW 02</t>
  </si>
  <si>
    <t xml:space="preserve">TGLS13.01-B03 - LOKASI ODP DI KEDUNG HALANG RW 13 </t>
  </si>
  <si>
    <t>PGY.01-A02 - LOKSASI ODP DI PASIR JAYA RW 01</t>
  </si>
  <si>
    <t>K-BKT1.01-A02 - LOKASI ODP DI RENDENG RW 07</t>
  </si>
  <si>
    <t>ODP-GJR-01 - LOKASI ODP DI SAMBIREJO RW 03</t>
  </si>
  <si>
    <t>R-KNS6.01-A10 - LOKASI ODP DI KARANGNANAS RW 06</t>
  </si>
  <si>
    <t>RCGA.01-A01 - LOKASI ODP DI RUKO CIBINONG GRIYA ASRI, TENGAH RW 08</t>
  </si>
  <si>
    <t>Row Labels</t>
  </si>
  <si>
    <t>Grand Total</t>
  </si>
  <si>
    <t>Count of ODP</t>
  </si>
  <si>
    <t>Sum of Homepass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</si>
</sst>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theme="1"/>
      <name val="Aptos Narrow"/>
      <family val="2"/>
      <charset val="1"/>
      <scheme val="minor"/>
    </font>
    <font>
      <sz val="14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15E9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 pivotButton="1"/>
    <xf numFmtId="0" fontId="0" fillId="0" borderId="0" xfId="0" applyNumberFormat="1"/>
  </cellXfs>
  <cellStyles count="2">
    <cellStyle name="Normal" xfId="0" builtinId="0"/>
    <cellStyle name="Normal 5 3" xfId="1" xr:uid="{EDFB7822-EA1B-441F-9999-1698AAE0BC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ecki Aprinaldi" refreshedDate="46245.561510995372" createdVersion="8" refreshedVersion="8" minRefreshableVersion="3" recordCount="138" xr:uid="{9D01B5EE-80A4-493B-894A-BCD9156B54E9}">
  <cacheSource type="worksheet">
    <worksheetSource ref="A2:O140" sheet="OUTLIERS TSA"/>
  </cacheSource>
  <cacheFields count="15">
    <cacheField name="No" numFmtId="0">
      <sharedItems containsSemiMixedTypes="0" containsString="0" containsNumber="1" containsInteger="1" minValue="1" maxValue="138"/>
    </cacheField>
    <cacheField name="Category BAK" numFmtId="0">
      <sharedItems/>
    </cacheField>
    <cacheField name="Provinsi" numFmtId="0">
      <sharedItems count="4">
        <s v="Jawa Barat"/>
        <s v="Jawa Tengah"/>
        <s v="Banten"/>
        <s v="Jakarta"/>
      </sharedItems>
    </cacheField>
    <cacheField name="Kabupaten" numFmtId="0">
      <sharedItems/>
    </cacheField>
    <cacheField name="Kecamatan" numFmtId="0">
      <sharedItems count="44">
        <s v="Bogor Barat"/>
        <s v="Kemang"/>
        <s v="Genuk"/>
        <s v="Klapanunggal"/>
        <s v="Bogor Timur"/>
        <s v="Kudus Kota"/>
        <s v="Mranggen"/>
        <s v="Bojong Gede"/>
        <s v="Bantar Gebang"/>
        <s v="Gunung Putri"/>
        <s v="Bojongsari"/>
        <s v="Setu"/>
        <s v="Candisari"/>
        <s v="Tanah Sereal"/>
        <s v="Cibinong"/>
        <s v="Mustika Jaya"/>
        <s v="Sawangan"/>
        <s v="Bogor Utara"/>
        <s v="Bae"/>
        <s v="Cikupa"/>
        <s v="Kaliwungu"/>
        <s v="Gayamsari"/>
        <s v="Pasar Rebo"/>
        <s v="Pedurungan"/>
        <s v="Cilodong"/>
        <s v="Gajah Mungkur"/>
        <s v="Sokaraja"/>
        <s v="Semarang Timur"/>
        <s v="Tembalang"/>
        <s v="Semarang Tengah"/>
        <s v="Semarang Selatan"/>
        <s v="Kembaran"/>
        <s v="Pancoran Mas"/>
        <s v="Cileungsi"/>
        <s v="Ciomas"/>
        <s v="Purwokerto Selatan"/>
        <s v="Sukaraja"/>
        <s v="Tigaraksa"/>
        <s v="Kota Kudus"/>
        <s v="Dramaga"/>
        <s v="Curug"/>
        <s v="Tapos"/>
        <s v="Cikarang Barat"/>
        <s v="Jati"/>
      </sharedItems>
    </cacheField>
    <cacheField name="Kelurahan" numFmtId="0">
      <sharedItems count="103">
        <s v="Atang Senjaya"/>
        <s v="Banjardowo"/>
        <s v="Bantar Jati"/>
        <s v="Baranangsiang"/>
        <s v="Barongan"/>
        <s v="Batursari"/>
        <s v="Bojong Gede"/>
        <s v="Bojong Menteng"/>
        <s v="Bojong Nangka Kavling Bukut"/>
        <s v="Bojong Nangka"/>
        <s v="Bojongsari"/>
        <s v="Burangkeng"/>
        <s v="Burikan"/>
        <s v="Candi"/>
        <s v="Cibadak"/>
        <s v="Cibinong"/>
        <s v="Cikeas Udik"/>
        <s v="Ciketing Udik"/>
        <s v="Cimuning"/>
        <s v="Cinangka"/>
        <s v="Ciparigi"/>
        <s v="Curug"/>
        <s v="Curugmekar"/>
        <s v="Dersalam"/>
        <s v="Dukuh"/>
        <s v="Garung Lor"/>
        <s v="Gayamsari"/>
        <s v="Gedong"/>
        <s v="Gemah"/>
        <s v="Glantengan"/>
        <s v="Gondang Manis Pertokoan Depan"/>
        <s v="Gondang Manis"/>
        <s v="Jatimulya"/>
        <s v="Jepang"/>
        <s v="Jomblang"/>
        <s v="Kajeksan"/>
        <s v="Kalibaru"/>
        <s v="Kalimulya"/>
        <s v="Karang Rejo"/>
        <s v="Karangnanas"/>
        <s v="Karangtempel"/>
        <s v="Kebonagung"/>
        <s v="Kedung Halang"/>
        <s v="Kedung Mundu"/>
        <s v="Kedung Waringin"/>
        <s v="Kranggan"/>
        <s v="Lamper Kidul"/>
        <s v="Lamper Tengah"/>
        <s v="Langgar Dalem"/>
        <s v="Ledug"/>
        <s v="Limusnunggal"/>
        <s v="Mampang"/>
        <s v="Mampir Perkebunan Coklat Dan"/>
        <s v="Mekarjaya"/>
        <s v="Mekarsari Citra"/>
        <s v="Mekarsari Grand Mekarsari"/>
        <s v="Miroto"/>
        <s v="Mlati Kidul"/>
        <s v="Mlati Lor"/>
        <s v="Mlati Norowito"/>
        <s v="Mustika Sari"/>
        <s v="Mustikajaya"/>
        <s v="Nanggewer Mekar"/>
        <s v="Nanggewer"/>
        <s v="Nganguk"/>
        <s v="Ngembal Rejo"/>
        <s v="Palebon"/>
        <s v="Pamijen"/>
        <s v="Pandean Lamper"/>
        <s v="Pasir Jaya"/>
        <s v="Pasir Laja"/>
        <s v="Pengasinan"/>
        <s v="Pete A"/>
        <s v="Plamongansari"/>
        <s v="Pliken"/>
        <s v="Prambatan Lor"/>
        <s v="Purwosari"/>
        <s v="Rejosari Taman"/>
        <s v="Rendeng"/>
        <s v="Sambirejo Relokasi Pasar"/>
        <s v="Sambirejo"/>
        <s v="Sambiroto"/>
        <s v="Sarirejo"/>
        <s v="Sasak Panjang"/>
        <s v="Sawahbesar Lahan Terbuka (Pkl Sawah"/>
        <s v="Sawahbesar"/>
        <s v="Sendangguwo"/>
        <s v="Sinarsari"/>
        <s v="Situsari"/>
        <s v="Sukabakti"/>
        <s v="Sukamaju Baru"/>
        <s v="Talaga Sari"/>
        <s v="Taman Sari"/>
        <s v="Telajung"/>
        <s v="Teluk"/>
        <s v="Tengah"/>
        <s v="Tlogomulyo"/>
        <s v="Tlogosari Kulon"/>
        <s v="Tumpang Krasak"/>
        <s v="Wergu Kulon"/>
        <s v="Wergu Wetan"/>
        <s v="Wiradadi"/>
        <s v="Wonodri"/>
      </sharedItems>
    </cacheField>
    <cacheField name="Kel RW/ SIte Name" numFmtId="0">
      <sharedItems/>
    </cacheField>
    <cacheField name="Desa/Perum" numFmtId="0">
      <sharedItems containsMixedTypes="1" containsNumber="1" containsInteger="1" minValue="0" maxValue="0"/>
    </cacheField>
    <cacheField name="Index" numFmtId="0">
      <sharedItems containsSemiMixedTypes="0" containsString="0" containsNumber="1" containsInteger="1" minValue="1834" maxValue="2434"/>
    </cacheField>
    <cacheField name="Homepass" numFmtId="0">
      <sharedItems containsSemiMixedTypes="0" containsString="0" containsNumber="1" containsInteger="1" minValue="0" maxValue="2381"/>
    </cacheField>
    <cacheField name="ODP" numFmtId="0">
      <sharedItems containsMixedTypes="1" containsNumber="1" containsInteger="1" minValue="1" maxValue="64" count="14">
        <n v="2"/>
        <n v="10"/>
        <n v="12"/>
        <n v="7"/>
        <n v="6"/>
        <n v="1"/>
        <n v="5"/>
        <n v="64"/>
        <n v="3"/>
        <n v="4"/>
        <n v="8"/>
        <s v="NOODP"/>
        <n v="14"/>
        <n v="9"/>
      </sharedItems>
    </cacheField>
    <cacheField name="REMARKS TSA" numFmtId="0">
      <sharedItems/>
    </cacheField>
    <cacheField name="KLASIFIKASI TSA" numFmtId="0">
      <sharedItems/>
    </cacheField>
    <cacheField name="PIC TSA" numFmtId="0">
      <sharedItems containsBlank="1"/>
    </cacheField>
    <cacheField name="REMARKS JLM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8">
  <r>
    <n v="1"/>
    <s v="6 ODP no BAK"/>
    <x v="0"/>
    <s v="Kota Bogor"/>
    <x v="0"/>
    <x v="0"/>
    <s v="Atang Senjaya RW 1"/>
    <s v="Asrama Atang Sanjaya Blok A"/>
    <n v="1834"/>
    <n v="92"/>
    <x v="0"/>
    <s v="MEMINTA 15% DARI KEUNTUNGAN BENTFIT, DAN MEMINTA TTD DARI JLM DAN AMT"/>
    <s v="Faktor JLM &amp; AMT"/>
    <s v="fajar"/>
    <s v="REQUEST REVENUE SHAING 15%"/>
  </r>
  <r>
    <n v="2"/>
    <s v="6 ODP no BAK"/>
    <x v="0"/>
    <s v="Kota Bogor"/>
    <x v="0"/>
    <x v="0"/>
    <s v="Atang Senjaya RW 2"/>
    <s v="Asrama Atang Sanjaya Blok A"/>
    <n v="1835"/>
    <n v="68"/>
    <x v="0"/>
    <s v="MEMINTA 15% DARI KEUNTUNGAN BENTFIT, DAN MEMINTA TTD DARI JLM DAN AMT"/>
    <s v="Faktor JLM &amp; AMT"/>
    <s v="fajar"/>
    <s v="REQUEST REVENUE SHAING 15%"/>
  </r>
  <r>
    <n v="3"/>
    <s v="6 ODP no BAK"/>
    <x v="0"/>
    <s v="Kab Bogor"/>
    <x v="1"/>
    <x v="0"/>
    <s v="Atang Senjaya RW 3"/>
    <s v="PERUMAHAN ASRAMA ATANG SANJAYA"/>
    <n v="1836"/>
    <n v="297"/>
    <x v="1"/>
    <s v="MEMINTA 15% DARI KEUNTUNGAN BENTFIT, DAN MEMINTA TTD DARI JLM DAN AMT"/>
    <s v="Faktor JLM &amp; AMT"/>
    <s v="fajar"/>
    <s v="REQUEST REVENUE SHAING 15%"/>
  </r>
  <r>
    <n v="4"/>
    <s v="6 ODP no BAK"/>
    <x v="0"/>
    <s v="Kab Bogor"/>
    <x v="1"/>
    <x v="0"/>
    <s v="Atang Senjaya RW 4"/>
    <s v="PERUMAHAN ASRAMA ATANG SANJAYA"/>
    <n v="1837"/>
    <n v="434"/>
    <x v="2"/>
    <s v="MEMINTA 15% DARI KEUNTUNGAN BENTFIT, DAN MEMINTA TTD DARI JLM DAN AMT"/>
    <s v="Faktor JLM &amp; AMT"/>
    <s v="fajar"/>
    <s v="REQUEST REVENUE SHAING 15%"/>
  </r>
  <r>
    <n v="5"/>
    <s v="6 ODP no BAK"/>
    <x v="1"/>
    <s v="Semarang"/>
    <x v="2"/>
    <x v="1"/>
    <s v="Banjardowo RW 1"/>
    <s v="Cluster Genuksari"/>
    <n v="1844"/>
    <n v="178"/>
    <x v="3"/>
    <s v="MENOLAK TTD"/>
    <s v="menolak"/>
    <m/>
    <s v="PERLU INFO DETAIL ALASAN MENOLAK"/>
  </r>
  <r>
    <n v="6"/>
    <s v="6 ODP no BAK"/>
    <x v="0"/>
    <s v="Kab Bogor"/>
    <x v="3"/>
    <x v="2"/>
    <s v="Bantar Jati RW 1"/>
    <s v="Kp Nambo"/>
    <n v="1846"/>
    <n v="518"/>
    <x v="4"/>
    <s v="TIDAK ADA ASET"/>
    <s v="no aset"/>
    <s v="wawi"/>
    <s v="NOVASI (ADA ASET)"/>
  </r>
  <r>
    <n v="7"/>
    <s v="6 ODP no BAK"/>
    <x v="0"/>
    <s v="Kota Bogor"/>
    <x v="4"/>
    <x v="3"/>
    <s v="Baranangsiang RW 5"/>
    <s v="Baranangsiang"/>
    <n v="1852"/>
    <n v="552"/>
    <x v="5"/>
    <s v="MENOLAK TTD"/>
    <s v="menolak"/>
    <s v="raka"/>
    <s v="NOVASI (ADA ASET)"/>
  </r>
  <r>
    <n v="8"/>
    <s v="6 ODP no BAK"/>
    <x v="1"/>
    <s v="Kab Kudus"/>
    <x v="5"/>
    <x v="4"/>
    <s v="Barongan RW 1"/>
    <s v="Bhakti"/>
    <n v="1853"/>
    <n v="245"/>
    <x v="5"/>
    <s v="TIDAK ADA IZIN"/>
    <s v="menolak"/>
    <m/>
    <s v="HARUS PERMIT DARI AWAL"/>
  </r>
  <r>
    <n v="9"/>
    <s v="6 ODP no BAK"/>
    <x v="1"/>
    <s v="Demak"/>
    <x v="6"/>
    <x v="5"/>
    <s v="Batursari Sawah"/>
    <s v="Batursari"/>
    <n v="1856"/>
    <n v="0"/>
    <x v="0"/>
    <s v="SALAH ALAMAT"/>
    <s v="salah alamat"/>
    <m/>
    <s v="1.1 AREA TIDAK TERIDENTIFIKASI"/>
  </r>
  <r>
    <n v="10"/>
    <s v="6 ODP no BAK"/>
    <x v="0"/>
    <s v="Kab Bogor"/>
    <x v="7"/>
    <x v="6"/>
    <s v="Bojong Gede RW 15"/>
    <s v="Bojong Gede"/>
    <n v="1861"/>
    <n v="271"/>
    <x v="6"/>
    <s v="MENOLAK TTD"/>
    <s v="menolak"/>
    <s v="rinjani"/>
    <s v="NOVASI (ADA ASET)"/>
  </r>
  <r>
    <n v="11"/>
    <s v="6 ODP no BAK"/>
    <x v="0"/>
    <s v="Bekasi"/>
    <x v="8"/>
    <x v="7"/>
    <s v="Bojong Menteng RW 5"/>
    <s v="Bantar Gebang"/>
    <n v="1866"/>
    <n v="1164"/>
    <x v="5"/>
    <s v="BOJONG MENTENG MASUK KEC, RAWALUMBU_x000a_RW05 BOJONG MENTENG  ADA ASET (KABEL FEEDER)"/>
    <s v="salah alamat"/>
    <s v="wildan"/>
    <s v="1.5 SALAH KETERANGAN RW/KEL/KEC/KAB"/>
  </r>
  <r>
    <n v="12"/>
    <s v="6 ODP no BAK"/>
    <x v="0"/>
    <s v="Kab Bogor"/>
    <x v="9"/>
    <x v="8"/>
    <s v="Bojong Nangka Kavling Bukut Golf"/>
    <s v="Bojong Nangka"/>
    <n v="1868"/>
    <n v="0"/>
    <x v="5"/>
    <s v="SALAH ALAMAT TIDAK KETEMU BOJONG NANGKA KAVLING BUKIT GOLF"/>
    <s v="salah alamat"/>
    <s v="wildan"/>
    <s v="1.1 AREA TIDAK TERIDENTIFIKASI"/>
  </r>
  <r>
    <n v="13"/>
    <s v="6 ODP no BAK"/>
    <x v="0"/>
    <s v="Kab Bogor"/>
    <x v="9"/>
    <x v="9"/>
    <s v="Bojong Nangka RW 18"/>
    <s v="Perumahan Villa Permata Mas 1"/>
    <n v="1869"/>
    <n v="605"/>
    <x v="7"/>
    <s v="MAU BERTEMU ATASAN JLM DAN AMT"/>
    <s v="Faktor JLM &amp; AMT"/>
    <s v="wawi"/>
    <s v="NOVASI (ADA ASET)"/>
  </r>
  <r>
    <n v="14"/>
    <s v="6 ODP no BAK"/>
    <x v="0"/>
    <s v="Kab Bogor"/>
    <x v="9"/>
    <x v="9"/>
    <s v="Bojong Nangka RW 26"/>
    <s v="Bojong Bojong Nangka"/>
    <n v="1872"/>
    <n v="302"/>
    <x v="5"/>
    <s v="MENOLAK TTD/PERUM PASPAMPRES"/>
    <s v="menolak"/>
    <s v="wawi"/>
    <s v="1.2 TIDAK ADA KETERANGAN ASET JLM PADA KMZ"/>
  </r>
  <r>
    <n v="15"/>
    <s v="6 ODP no BAK"/>
    <x v="0"/>
    <s v="Depok"/>
    <x v="10"/>
    <x v="10"/>
    <s v="Bojongsari RW 5"/>
    <s v="Duren Duren Mekar"/>
    <n v="1885"/>
    <n v="141"/>
    <x v="0"/>
    <s v="TIDAK ADA ASET"/>
    <s v="ADA ASET"/>
    <s v="raka"/>
    <s v="NOVASI (ADA ASET)"/>
  </r>
  <r>
    <n v="16"/>
    <s v="6 ODP no BAK"/>
    <x v="0"/>
    <s v="Bekasi"/>
    <x v="11"/>
    <x v="11"/>
    <s v="Burangkeng RW 12"/>
    <s v="Burangkeng"/>
    <n v="1891"/>
    <n v="266"/>
    <x v="5"/>
    <s v="TIDAK ADA ASET"/>
    <s v="no aset"/>
    <s v="pak abas"/>
    <s v="1.2 TIDAK ADA KETERANGAN ASET JLM PADA KMZ"/>
  </r>
  <r>
    <n v="17"/>
    <s v="6 ODP no BAK"/>
    <x v="0"/>
    <s v="Bekasi"/>
    <x v="11"/>
    <x v="11"/>
    <s v="Burangkeng RW 13"/>
    <s v="Burangkeng"/>
    <n v="1892"/>
    <n v="2381"/>
    <x v="5"/>
    <s v="TIDAK ADA ASET"/>
    <s v="no aset"/>
    <s v="pak abas"/>
    <s v="1.2 TIDAK ADA KETERANGAN ASET JLM PADA KMZ"/>
  </r>
  <r>
    <n v="18"/>
    <s v="6 ODP no BAK"/>
    <x v="0"/>
    <s v="Bekasi"/>
    <x v="11"/>
    <x v="11"/>
    <s v="Burangkeng RW 16"/>
    <s v="Burangkeng"/>
    <n v="1893"/>
    <n v="291"/>
    <x v="8"/>
    <s v="TIDAK ADA ASET"/>
    <s v="ADA ASET"/>
    <s v="pak abas"/>
    <s v="NOVASI (ADA ASET)"/>
  </r>
  <r>
    <n v="19"/>
    <s v="6 ODP no BAK"/>
    <x v="0"/>
    <s v="Bekasi"/>
    <x v="11"/>
    <x v="11"/>
    <s v="Burangkeng RW 6"/>
    <s v="Burangkeng"/>
    <n v="1895"/>
    <n v="742"/>
    <x v="5"/>
    <s v="TIDAK ADA ASET"/>
    <s v="ADA ASET"/>
    <s v="pak abas"/>
    <s v="NOVASI (ADA ASET)"/>
  </r>
  <r>
    <n v="20"/>
    <s v="6 ODP no BAK"/>
    <x v="0"/>
    <s v="Bekasi"/>
    <x v="11"/>
    <x v="11"/>
    <s v="Burangkeng RW 9"/>
    <s v="Burangkeng"/>
    <n v="1896"/>
    <n v="343"/>
    <x v="0"/>
    <s v="TIDAK ADA ASET"/>
    <s v="no aset"/>
    <s v="pak abas"/>
    <s v="1.2 TIDAK ADA KETERANGAN ASET JLM PADA KMZ"/>
  </r>
  <r>
    <n v="21"/>
    <s v="6 ODP no BAK"/>
    <x v="1"/>
    <s v="Kab Kudus"/>
    <x v="5"/>
    <x v="12"/>
    <s v="Burikan RW 1"/>
    <s v="Bhakti"/>
    <n v="1897"/>
    <n v="188"/>
    <x v="5"/>
    <s v="TIDAK ADA IZIN"/>
    <s v="menolak"/>
    <m/>
    <s v="HARUS PERMIT DARI AWAL"/>
  </r>
  <r>
    <n v="22"/>
    <s v="6 ODP no BAK"/>
    <x v="1"/>
    <s v="Semarang"/>
    <x v="12"/>
    <x v="13"/>
    <s v="Candi RW 11"/>
    <s v="Candi"/>
    <n v="1898"/>
    <n v="147"/>
    <x v="0"/>
    <s v="TIDAK ADA IZIN"/>
    <s v="menolak"/>
    <m/>
    <s v="HARUS PERMIT DARI AWAL"/>
  </r>
  <r>
    <n v="23"/>
    <s v="6 ODP no BAK"/>
    <x v="0"/>
    <s v="Kota Bogor"/>
    <x v="13"/>
    <x v="14"/>
    <s v="Cibadak RW 15"/>
    <s v="Kp Setu Asem"/>
    <n v="1910"/>
    <n v="637"/>
    <x v="5"/>
    <s v="PAK RW INFO SALAH ALAMAT, KP.SETU ITU DI MEKARWANGI RW14 BUKAN CIBADAK"/>
    <s v="salah alamat"/>
    <s v="raka"/>
    <s v="1.1 AREA TIDAK TERIDENTIFIKASI"/>
  </r>
  <r>
    <n v="24"/>
    <s v="6 ODP no BAK"/>
    <x v="0"/>
    <s v="Kab Bogor"/>
    <x v="14"/>
    <x v="15"/>
    <s v="Cibinong RW 12"/>
    <s v="Perumahan Visar Indah Pratama 2"/>
    <n v="1913"/>
    <n v="378"/>
    <x v="9"/>
    <s v="MENOLAK TTD, MINTA BAK LAMA"/>
    <s v="menolak"/>
    <s v="wildan"/>
    <s v="PERLU INFO DETAIL ALASAN MENOLAK"/>
  </r>
  <r>
    <n v="25"/>
    <s v="6 ODP no BAK"/>
    <x v="0"/>
    <s v="Kab Bogor"/>
    <x v="9"/>
    <x v="16"/>
    <s v="Cikeas Udik RW 24"/>
    <s v="Cikeas Cikeas Udik"/>
    <n v="1945"/>
    <n v="110"/>
    <x v="0"/>
    <s v="TIDAK ADA ASET"/>
    <s v="no aset"/>
    <s v="wawi"/>
    <s v="1.2 TIDAK ADA KETERANGAN ASET JLM PADA KMZ"/>
  </r>
  <r>
    <n v="26"/>
    <s v="6 ODP no BAK"/>
    <x v="0"/>
    <s v="Bekasi"/>
    <x v="8"/>
    <x v="17"/>
    <s v="Ciketing Udik RW 1"/>
    <s v="Ciketing Udik"/>
    <n v="1948"/>
    <n v="819"/>
    <x v="5"/>
    <s v="TIDAK ADA ASET"/>
    <s v="no aset"/>
    <s v="pak abas"/>
    <s v="NOVASI (ADA ASET)"/>
  </r>
  <r>
    <n v="27"/>
    <s v="6 ODP no BAK"/>
    <x v="0"/>
    <s v="Bekasi"/>
    <x v="8"/>
    <x v="17"/>
    <s v="Ciketing Udik RW 5"/>
    <s v="Ciketing Udik"/>
    <n v="1951"/>
    <n v="387"/>
    <x v="9"/>
    <s v="TIDAK ADA ASET"/>
    <s v="no aset"/>
    <s v="pak abas"/>
    <s v="NOVASI (ADA ASET)"/>
  </r>
  <r>
    <n v="28"/>
    <s v="6 ODP no BAK"/>
    <x v="0"/>
    <s v="Bekasi"/>
    <x v="15"/>
    <x v="18"/>
    <s v="Cimuning RW 15"/>
    <s v="Cimuning"/>
    <n v="1970"/>
    <n v="452"/>
    <x v="5"/>
    <s v="MENOLAK TTD"/>
    <s v="menolak"/>
    <s v="pak abas"/>
    <s v="PERLU INFO DETAIL ALASAN MENOLAK"/>
  </r>
  <r>
    <n v="29"/>
    <s v="6 ODP no BAK"/>
    <x v="0"/>
    <s v="Bekasi"/>
    <x v="15"/>
    <x v="18"/>
    <s v="Cimuning RW 23"/>
    <s v="Cimuning"/>
    <n v="1971"/>
    <n v="308"/>
    <x v="9"/>
    <s v="MENOLAK TTD"/>
    <s v="menolak"/>
    <s v="pak abas"/>
    <s v="PERLU INFO DETAIL ALASAN MENOLAK"/>
  </r>
  <r>
    <n v="30"/>
    <s v="6 ODP no BAK"/>
    <x v="0"/>
    <s v="Depok"/>
    <x v="16"/>
    <x v="19"/>
    <s v="Cinangka RW 11"/>
    <s v="Cinangka"/>
    <n v="1973"/>
    <n v="188"/>
    <x v="5"/>
    <s v="TIDAK ADA ASET"/>
    <s v="no aset"/>
    <s v="putri"/>
    <s v="NOVASI (ADA ASET)"/>
  </r>
  <r>
    <n v="31"/>
    <s v="6 ODP no BAK"/>
    <x v="0"/>
    <s v="Kota Bogor"/>
    <x v="17"/>
    <x v="20"/>
    <s v="Ciparigi RW 12"/>
    <s v="Kp Ciparigi"/>
    <n v="1977"/>
    <n v="808"/>
    <x v="8"/>
    <s v="VILLA BOGOR INDAH"/>
    <s v="no aset"/>
    <s v="raka"/>
    <s v="1.2 TIDAK ADA KETERANGAN ASET JLM PADA KMZ"/>
  </r>
  <r>
    <n v="32"/>
    <s v="6 ODP no BAK"/>
    <x v="0"/>
    <s v="Depok"/>
    <x v="10"/>
    <x v="21"/>
    <s v="Curug RW 12"/>
    <s v="Bojong Sari"/>
    <n v="1997"/>
    <n v="201"/>
    <x v="5"/>
    <s v="PERUMAHAN TAMANSARI PURI BALI"/>
    <s v="no aset"/>
    <s v="putri"/>
    <s v="1.2 TIDAK ADA KETERANGAN ASET JLM PADA KMZ"/>
  </r>
  <r>
    <n v="33"/>
    <s v="6 ODP no BAK"/>
    <x v="0"/>
    <s v="Kota Bogor"/>
    <x v="0"/>
    <x v="22"/>
    <s v="Curugmekar RW 1"/>
    <s v="Cemplang Cemplang Utara"/>
    <n v="2010"/>
    <n v="556"/>
    <x v="5"/>
    <s v="MENOLAK TTD"/>
    <s v="no aset"/>
    <s v="rinjani"/>
    <s v="1.2 TIDAK ADA KETERANGAN ASET JLM PADA KMZ"/>
  </r>
  <r>
    <n v="34"/>
    <s v="6 ODP no BAK"/>
    <x v="1"/>
    <s v="Kab Kudus"/>
    <x v="18"/>
    <x v="23"/>
    <s v="Dersalam 015P"/>
    <s v="Perumahan Salam Residence"/>
    <n v="2018"/>
    <n v="315"/>
    <x v="10"/>
    <s v="TIDAK ADA IZIN"/>
    <s v="menolak"/>
    <m/>
    <s v="HARUS PERMIT DARI AWAL"/>
  </r>
  <r>
    <n v="35"/>
    <s v="6 ODP no BAK"/>
    <x v="1"/>
    <s v="Kab Kudus"/>
    <x v="18"/>
    <x v="23"/>
    <s v="Dersalam RW 2"/>
    <s v="SIWALAN"/>
    <n v="2019"/>
    <n v="402"/>
    <x v="0"/>
    <s v="TIDAK ADA IZIN"/>
    <s v="menolak"/>
    <m/>
    <s v="HARUS PERMIT DARI AWAL"/>
  </r>
  <r>
    <n v="36"/>
    <s v="6 ODP no BAK"/>
    <x v="1"/>
    <s v="Kab Kudus"/>
    <x v="18"/>
    <x v="23"/>
    <s v="Dersalam RW 3"/>
    <s v="Kp Kaum Pandak"/>
    <n v="2020"/>
    <n v="411"/>
    <x v="11"/>
    <s v="TIDAK ADA IZIN"/>
    <s v="menolak"/>
    <m/>
    <s v="HARUS PERMIT DARI AWAL"/>
  </r>
  <r>
    <n v="37"/>
    <s v="6 ODP no BAK"/>
    <x v="2"/>
    <s v="Tangerang"/>
    <x v="19"/>
    <x v="24"/>
    <s v="Dukuh RW 5"/>
    <s v="Dukuh"/>
    <n v="2022"/>
    <n v="317"/>
    <x v="5"/>
    <s v="TIDAK ADA ASET"/>
    <s v="no aset"/>
    <s v="pak marsidi"/>
    <s v="NOVASI (ADA ASET)"/>
  </r>
  <r>
    <n v="38"/>
    <s v="6 ODP no BAK"/>
    <x v="1"/>
    <s v="Kab Kudus"/>
    <x v="20"/>
    <x v="25"/>
    <s v="Garung Lor RW 3"/>
    <s v="Kec Kaliwungu"/>
    <n v="2036"/>
    <n v="643"/>
    <x v="5"/>
    <s v="MENOLAK TTD"/>
    <s v="menolak"/>
    <m/>
    <s v="PERLU INFO DETAIL ALASAN MENOLAK"/>
  </r>
  <r>
    <n v="39"/>
    <s v="6 ODP no BAK"/>
    <x v="1"/>
    <s v="Kab Kudus"/>
    <x v="20"/>
    <x v="25"/>
    <s v="Garung Lor RW 4"/>
    <s v="Garung Lor"/>
    <n v="2037"/>
    <n v="389"/>
    <x v="5"/>
    <s v="MENOLAK TTD"/>
    <s v="menolak"/>
    <m/>
    <s v="PERLU INFO DETAIL ALASAN MENOLAK"/>
  </r>
  <r>
    <n v="40"/>
    <s v="6 ODP no BAK"/>
    <x v="1"/>
    <s v="Semarang"/>
    <x v="21"/>
    <x v="26"/>
    <s v="Gayamsari RW 3"/>
    <s v="Gayamsari"/>
    <n v="2038"/>
    <n v="612"/>
    <x v="0"/>
    <s v="TIDAK ADA IZIN"/>
    <s v="menolak"/>
    <m/>
    <s v="HARUS PERMIT DARI AWAL"/>
  </r>
  <r>
    <n v="41"/>
    <s v="6 ODP no BAK"/>
    <x v="1"/>
    <s v="Semarang"/>
    <x v="21"/>
    <x v="26"/>
    <s v="Gayamsari RW 6"/>
    <s v="Kp Kaum Pandak"/>
    <n v="2040"/>
    <n v="161"/>
    <x v="5"/>
    <s v="TIDAK ADA ASET"/>
    <s v="no aset"/>
    <m/>
    <s v="NOVASI (ADA ASET)"/>
  </r>
  <r>
    <n v="42"/>
    <s v="6 ODP no BAK"/>
    <x v="3"/>
    <s v="Jakarta Timur"/>
    <x v="22"/>
    <x v="27"/>
    <s v="Gedong RW 8"/>
    <s v="Gedong"/>
    <n v="2042"/>
    <n v="1109"/>
    <x v="8"/>
    <s v="MINTA SURAT RESMI"/>
    <s v="Faktor JLM &amp; AMT"/>
    <s v="pak abbas"/>
    <s v="NOVASI (ADA ASET)"/>
  </r>
  <r>
    <n v="43"/>
    <s v="6 ODP no BAK"/>
    <x v="1"/>
    <s v="Semarang"/>
    <x v="23"/>
    <x v="28"/>
    <s v="Gemah RW 7"/>
    <s v="Gemah"/>
    <n v="2043"/>
    <n v="329"/>
    <x v="5"/>
    <s v="TIDAK ADA ASET"/>
    <s v="no aset"/>
    <m/>
    <s v="NOVASI (ADA ASET)"/>
  </r>
  <r>
    <n v="44"/>
    <s v="6 ODP no BAK"/>
    <x v="1"/>
    <s v="Semarang"/>
    <x v="23"/>
    <x v="28"/>
    <s v="Gemah RW 9"/>
    <s v="Gemah"/>
    <n v="2045"/>
    <n v="404"/>
    <x v="8"/>
    <s v="MENOLAK TTD"/>
    <s v="menolak"/>
    <m/>
    <s v="PERLU INFO DETAIL ALASAN MENOLAK"/>
  </r>
  <r>
    <n v="45"/>
    <s v="6 ODP no BAK"/>
    <x v="1"/>
    <s v="Kab Kudus"/>
    <x v="5"/>
    <x v="29"/>
    <s v="Glantengan RW 4"/>
    <s v="Bhakti"/>
    <n v="2048"/>
    <n v="70"/>
    <x v="0"/>
    <s v="TIDAK ADA IZIN"/>
    <s v="menolak"/>
    <m/>
    <s v="HARUS PERMIT DARI AWAL"/>
  </r>
  <r>
    <n v="46"/>
    <s v="6 ODP no BAK"/>
    <x v="1"/>
    <s v="Kab Kudus"/>
    <x v="18"/>
    <x v="30"/>
    <s v="Gondang Manis Pertokoan Depan Umk"/>
    <s v="SIWALAN"/>
    <n v="2049"/>
    <n v="84"/>
    <x v="5"/>
    <s v="TIDAK ADA IZIN"/>
    <s v="menolak"/>
    <m/>
    <s v="HARUS PERMIT DARI AWAL"/>
  </r>
  <r>
    <n v="47"/>
    <s v="6 ODP no BAK"/>
    <x v="1"/>
    <s v="Kab Kudus"/>
    <x v="18"/>
    <x v="31"/>
    <s v="Gondang Manis RW 11"/>
    <s v="SIWALAN"/>
    <n v="2050"/>
    <n v="987"/>
    <x v="5"/>
    <s v="TIDAK ADA IZIN"/>
    <s v="menolak"/>
    <m/>
    <s v="HARUS PERMIT DARI AWAL"/>
  </r>
  <r>
    <n v="48"/>
    <s v="6 ODP no BAK"/>
    <x v="0"/>
    <s v="Depok"/>
    <x v="24"/>
    <x v="32"/>
    <s v="Jatimulya RW 7"/>
    <s v="Kp Jatimulya"/>
    <n v="2063"/>
    <n v="2337"/>
    <x v="0"/>
    <s v="TIDAK ADA ASET"/>
    <s v="no aset"/>
    <s v="fajar"/>
    <s v="NOVASI (ADA ASET)"/>
  </r>
  <r>
    <n v="49"/>
    <s v="6 ODP no BAK"/>
    <x v="1"/>
    <s v="Kab Kudus"/>
    <x v="20"/>
    <x v="33"/>
    <s v="Jepang RW 10"/>
    <s v="Kp Kaum Pandak"/>
    <n v="2065"/>
    <n v="485"/>
    <x v="5"/>
    <s v="TIDAK ADA IZIN"/>
    <s v="menolak"/>
    <m/>
    <s v="HARUS PERMIT DARI AWAL"/>
  </r>
  <r>
    <n v="50"/>
    <s v="6 ODP no BAK"/>
    <x v="1"/>
    <s v="Semarang"/>
    <x v="12"/>
    <x v="34"/>
    <s v="Jomblang RW 12"/>
    <s v="JOMBLANG"/>
    <n v="2067"/>
    <n v="166"/>
    <x v="5"/>
    <s v="TIDAK ADA ASET"/>
    <s v="no aset"/>
    <m/>
    <s v="NOVASI (ADA ASET)"/>
  </r>
  <r>
    <n v="51"/>
    <s v="6 ODP no BAK"/>
    <x v="1"/>
    <s v="Kab Kudus"/>
    <x v="5"/>
    <x v="35"/>
    <s v="Kajeksan RW 1"/>
    <s v="Damaran"/>
    <n v="2079"/>
    <n v="241"/>
    <x v="5"/>
    <s v="TIDAK ADA IZIN"/>
    <s v="menolak"/>
    <m/>
    <s v="HARUS PERMIT DARI AWAL"/>
  </r>
  <r>
    <n v="52"/>
    <s v="6 ODP no BAK"/>
    <x v="0"/>
    <s v="Depok"/>
    <x v="24"/>
    <x v="36"/>
    <s v="Kalibaru RW 7"/>
    <s v="Kalibaru"/>
    <n v="2081"/>
    <n v="197"/>
    <x v="5"/>
    <s v="TIDAK ADA ASET"/>
    <s v="no aset"/>
    <s v="ussy"/>
    <s v="NOVASI (ADA ASET)"/>
  </r>
  <r>
    <n v="53"/>
    <s v="6 ODP no BAK"/>
    <x v="0"/>
    <s v="Depok"/>
    <x v="24"/>
    <x v="37"/>
    <s v="Kalimulya RW 10"/>
    <s v="Kp Kalimulya"/>
    <n v="2089"/>
    <n v="301"/>
    <x v="0"/>
    <s v="TIDAK ADA ASET"/>
    <s v="no aset"/>
    <s v="ussy"/>
    <s v="NOVASI (ADA ASET)"/>
  </r>
  <r>
    <n v="54"/>
    <s v="6 ODP no BAK"/>
    <x v="0"/>
    <s v="Depok"/>
    <x v="24"/>
    <x v="37"/>
    <s v="Kalimulya RW 11"/>
    <s v="Kp Kalimulya"/>
    <n v="2090"/>
    <n v="542"/>
    <x v="5"/>
    <s v="TIDAK ADA ASET"/>
    <s v="no aset"/>
    <s v="ussy"/>
    <s v="NOVASI (ADA ASET)"/>
  </r>
  <r>
    <n v="55"/>
    <s v="6 ODP no BAK"/>
    <x v="1"/>
    <s v="Semarang"/>
    <x v="25"/>
    <x v="38"/>
    <s v="Karang Rejo RW 4"/>
    <n v="0"/>
    <n v="2096"/>
    <n v="257"/>
    <x v="5"/>
    <s v="TIDAK ADA ASET"/>
    <s v="no aset"/>
    <m/>
    <s v="NOVASI (ADA ASET)"/>
  </r>
  <r>
    <n v="56"/>
    <s v="6 ODP no BAK"/>
    <x v="1"/>
    <s v="Banyumas"/>
    <x v="26"/>
    <x v="39"/>
    <s v="Karangnanas RW 4"/>
    <s v="Karang Nanas"/>
    <n v="2103"/>
    <n v="396"/>
    <x v="5"/>
    <s v="MENOLAK TTD"/>
    <s v="menolak"/>
    <m/>
    <s v="PERLU INFO DETAIL ALASAN MENOLAK"/>
  </r>
  <r>
    <n v="57"/>
    <s v="6 ODP no BAK"/>
    <x v="1"/>
    <s v="Semarang"/>
    <x v="27"/>
    <x v="40"/>
    <s v="Karangtempel RW 2"/>
    <n v="0"/>
    <n v="2105"/>
    <n v="195"/>
    <x v="8"/>
    <s v="TIDAK ADA IZIN"/>
    <s v="menolak"/>
    <m/>
    <s v="HARUS PERMIT DARI AWAL"/>
  </r>
  <r>
    <n v="58"/>
    <s v="6 ODP no BAK"/>
    <x v="1"/>
    <s v="Semarang"/>
    <x v="27"/>
    <x v="41"/>
    <s v="Kebonagung RW 4"/>
    <s v="KEBONAGUNG"/>
    <n v="2112"/>
    <n v="216"/>
    <x v="3"/>
    <s v="MINTA SEMUA PERMIT &amp; PUPR "/>
    <s v="Faktor JLM &amp; AMT"/>
    <m/>
    <s v="MINTA PERIJINAN DARI PUPR "/>
  </r>
  <r>
    <n v="59"/>
    <s v="6 ODP no BAK"/>
    <x v="0"/>
    <s v="Kota Bogor"/>
    <x v="17"/>
    <x v="42"/>
    <s v="Kedung Halang RW 15"/>
    <s v="Kp Tunggilis"/>
    <n v="2114"/>
    <n v="724"/>
    <x v="5"/>
    <s v="SALAH ALAMAT, MERASA TIDAK ADA BNETFIT DI DAERAHNYA"/>
    <s v="salah alamat"/>
    <s v="rama"/>
    <s v="TGLS13.01-B03 - LOKASI ODP DI KEDUNG HALANG RW 13 "/>
  </r>
  <r>
    <n v="60"/>
    <s v="6 ODP no BAK"/>
    <x v="1"/>
    <s v="Semarang"/>
    <x v="28"/>
    <x v="43"/>
    <s v="Kedung Mundu RW 5"/>
    <n v="0"/>
    <n v="2116"/>
    <n v="276"/>
    <x v="5"/>
    <s v="MINTA SEMUA PERMIT &amp; PUPR "/>
    <s v="Faktor JLM &amp; AMT"/>
    <m/>
    <s v="MINTA PERIJINAN DARI PUPR "/>
  </r>
  <r>
    <n v="61"/>
    <s v="6 ODP no BAK"/>
    <x v="0"/>
    <s v="Kab Bogor"/>
    <x v="7"/>
    <x v="44"/>
    <s v="Kedung Waringin RW 8"/>
    <s v="Kedung Waringin"/>
    <n v="2120"/>
    <n v="512"/>
    <x v="4"/>
    <s v="TIDAK ADA ASET"/>
    <s v="no aset"/>
    <s v="rama"/>
    <s v="NOVASI (ADA ASET)"/>
  </r>
  <r>
    <n v="62"/>
    <s v="6 ODP no BAK"/>
    <x v="1"/>
    <s v="Semarang"/>
    <x v="29"/>
    <x v="45"/>
    <s v="Kranggan RW 3"/>
    <n v="0"/>
    <n v="2135"/>
    <n v="285"/>
    <x v="12"/>
    <s v="MENOLAK TTD"/>
    <s v="menolak"/>
    <m/>
    <s v="PERLU INFO DETAIL ALASAN MENOLAK"/>
  </r>
  <r>
    <n v="63"/>
    <s v="6 ODP no BAK"/>
    <x v="1"/>
    <s v="Semarang"/>
    <x v="30"/>
    <x v="46"/>
    <s v="Lamper Kidul RW 1"/>
    <s v="Durian"/>
    <n v="2140"/>
    <n v="478"/>
    <x v="5"/>
    <s v="TIDAK ADA IZIN"/>
    <s v="menolak"/>
    <m/>
    <s v="HARUS PERMIT DARI AWAL"/>
  </r>
  <r>
    <n v="64"/>
    <s v="6 ODP no BAK"/>
    <x v="1"/>
    <s v="Semarang"/>
    <x v="30"/>
    <x v="47"/>
    <s v="Lamper Tengah RW 2"/>
    <s v="Lamper Tengah"/>
    <n v="2145"/>
    <n v="397"/>
    <x v="8"/>
    <s v="MENOLAK TTD"/>
    <s v="menolak"/>
    <m/>
    <s v="PERLU INFO DETAIL ALASAN MENOLAK"/>
  </r>
  <r>
    <n v="65"/>
    <s v="6 ODP no BAK"/>
    <x v="1"/>
    <s v="Kab Kudus"/>
    <x v="5"/>
    <x v="48"/>
    <s v="Langgar Dalem RW 3"/>
    <s v="Damaran"/>
    <n v="2147"/>
    <n v="401"/>
    <x v="5"/>
    <s v="TIDAK ADA IZIN"/>
    <s v="menolak"/>
    <m/>
    <s v="HARUS PERMIT DARI AWAL"/>
  </r>
  <r>
    <n v="66"/>
    <s v="6 ODP no BAK"/>
    <x v="1"/>
    <s v="Banyumas"/>
    <x v="31"/>
    <x v="49"/>
    <s v="Ledug RW 5"/>
    <s v="Dukuhwaluh"/>
    <n v="2149"/>
    <n v="923"/>
    <x v="0"/>
    <s v="TIDAK ADA ASET"/>
    <s v="no aset"/>
    <m/>
    <s v="NOVASI (ADA ASET)"/>
  </r>
  <r>
    <n v="67"/>
    <s v="6 ODP no BAK"/>
    <x v="0"/>
    <s v="Bekasi"/>
    <x v="8"/>
    <x v="50"/>
    <s v="Limusnunggal RW 5"/>
    <s v="Ciketing Udik"/>
    <n v="2154"/>
    <n v="1495"/>
    <x v="5"/>
    <s v="SALAH ALAMAT. INFO DARI PAKRW LIMUSNUNGGAL MASUK KEC.CILEUNGSI BUKAN KEC.BANTAR GERBANG"/>
    <s v="salah alamat"/>
    <s v="wildan"/>
    <s v="B-CUD2.01-A03 - LOKASI ODP DI CIKETING UDDIK RW 02"/>
  </r>
  <r>
    <n v="68"/>
    <s v="6 ODP no BAK"/>
    <x v="0"/>
    <s v="Depok"/>
    <x v="32"/>
    <x v="51"/>
    <s v="Mampang RW 10"/>
    <s v="Ruko Jl. Sawangan Puri Depok Mas 1 &amp; 2"/>
    <n v="2157"/>
    <n v="396"/>
    <x v="5"/>
    <s v="SALAH ALAMAT RUKO INI MASUKNYA DI RW 09"/>
    <s v="salah alamat"/>
    <s v="ardita"/>
    <s v="NOVASI (ADA ASET)"/>
  </r>
  <r>
    <n v="69"/>
    <s v="6 ODP no BAK"/>
    <x v="0"/>
    <s v="Kab Bogor"/>
    <x v="33"/>
    <x v="52"/>
    <s v="Mampir Perkebunan Coklat Dan Sawit"/>
    <s v="Dayeuh"/>
    <n v="2159"/>
    <n v="0"/>
    <x v="0"/>
    <s v="ALAMAT TIDAK JELAS DIDATA EXCEL "/>
    <s v="salah alamat"/>
    <s v="wildan"/>
    <s v="TIDAK JELAS AREA YANG DIMAKSUD"/>
  </r>
  <r>
    <n v="70"/>
    <s v="6 ODP no BAK"/>
    <x v="0"/>
    <s v="Kab Bogor"/>
    <x v="34"/>
    <x v="53"/>
    <s v="Mekarjaya RW 11"/>
    <s v="Mekarjaya"/>
    <n v="2173"/>
    <n v="195"/>
    <x v="5"/>
    <s v="TIDAK ADA ASET"/>
    <s v="no aset"/>
    <s v="rama"/>
    <s v="NOVASI (ADA ASET)"/>
  </r>
  <r>
    <n v="71"/>
    <s v="6 ODP no BAK"/>
    <x v="0"/>
    <s v="Kab Bogor"/>
    <x v="33"/>
    <x v="54"/>
    <s v="Mekarsari Citra Land"/>
    <s v="Kp Cilengket"/>
    <n v="2174"/>
    <n v="0"/>
    <x v="5"/>
    <s v="MENOLAK TTD"/>
    <s v="menolak"/>
    <s v="rama"/>
    <s v="PERLU INFO DETAIL ALASAN MENOLAK"/>
  </r>
  <r>
    <n v="72"/>
    <s v="6 ODP no BAK"/>
    <x v="0"/>
    <s v="Kab Bogor"/>
    <x v="33"/>
    <x v="55"/>
    <s v="Mekarsari Grand Mekarsari Residence"/>
    <s v="Kp Cigarogol"/>
    <n v="2175"/>
    <n v="70"/>
    <x v="0"/>
    <s v="MENOLAK TTD"/>
    <s v="menolak"/>
    <s v="fajar"/>
    <s v="PERLU INFO DETAIL ALASAN MENOLAK"/>
  </r>
  <r>
    <n v="73"/>
    <s v="6 ODP no BAK"/>
    <x v="1"/>
    <s v="Semarang"/>
    <x v="29"/>
    <x v="56"/>
    <s v="Miroto RW 4"/>
    <n v="0"/>
    <n v="2181"/>
    <n v="365"/>
    <x v="0"/>
    <s v="MINTA SEMUA PERMIT &amp; PUPR "/>
    <s v="Faktor JLM &amp; AMT"/>
    <m/>
    <s v="MINTA PERIJINAN DARI PUPR "/>
  </r>
  <r>
    <n v="74"/>
    <s v="6 ODP no BAK"/>
    <x v="1"/>
    <s v="Kab Kudus"/>
    <x v="5"/>
    <x v="57"/>
    <s v="Mlati Kidul RW 1"/>
    <s v="Wergu Kulon"/>
    <n v="2182"/>
    <n v="538"/>
    <x v="0"/>
    <s v="TIDAK ADA IZIN"/>
    <s v="menolak"/>
    <m/>
    <s v="HARUS PERMIT DARI AWAL"/>
  </r>
  <r>
    <n v="75"/>
    <s v="6 ODP no BAK"/>
    <x v="1"/>
    <s v="Kab Kudus"/>
    <x v="5"/>
    <x v="57"/>
    <s v="Mlati Kidul RW 3"/>
    <s v="Kp Kaum Pandak"/>
    <n v="2183"/>
    <n v="219"/>
    <x v="8"/>
    <s v="TIDAK ADA IZIN"/>
    <s v="menolak"/>
    <m/>
    <s v="HARUS PERMIT DARI AWAL"/>
  </r>
  <r>
    <n v="76"/>
    <s v="6 ODP no BAK"/>
    <x v="1"/>
    <s v="Kab Kudus"/>
    <x v="5"/>
    <x v="58"/>
    <s v="Mlati Lor Perkantoran"/>
    <s v="Kp Kaum Pandak"/>
    <n v="2184"/>
    <n v="6"/>
    <x v="5"/>
    <s v="TIDAK ADA IZIN"/>
    <s v="menolak"/>
    <m/>
    <s v="HARUS PERMIT DARI AWAL"/>
  </r>
  <r>
    <n v="77"/>
    <s v="6 ODP no BAK"/>
    <x v="1"/>
    <s v="Kab Kudus"/>
    <x v="5"/>
    <x v="59"/>
    <s v="Mlati Norowito RW 2"/>
    <s v="Kp Kaum Pandak"/>
    <n v="2186"/>
    <n v="164"/>
    <x v="5"/>
    <s v="TIDAK ADA IZIN"/>
    <s v="menolak"/>
    <m/>
    <s v="HARUS PERMIT DARI AWAL"/>
  </r>
  <r>
    <n v="78"/>
    <s v="6 ODP no BAK"/>
    <x v="0"/>
    <s v="Bekasi"/>
    <x v="15"/>
    <x v="60"/>
    <s v="Mustika Sari RW 10"/>
    <s v="Mustikasari"/>
    <n v="2198"/>
    <n v="765"/>
    <x v="5"/>
    <s v="TIDAK ADA ASET"/>
    <s v="no aset"/>
    <s v="pak abas"/>
    <s v="NOVASI (ADA ASET)"/>
  </r>
  <r>
    <n v="79"/>
    <s v="6 ODP no BAK"/>
    <x v="0"/>
    <s v="Bekasi"/>
    <x v="15"/>
    <x v="61"/>
    <s v="Mustikajaya RW 32"/>
    <s v="Mustika Jaya"/>
    <n v="2201"/>
    <n v="161"/>
    <x v="5"/>
    <s v="MENOLAK BERTEMU"/>
    <s v="menolak"/>
    <s v="pak abas"/>
    <s v="PERLU INFO DETAIL ALASAN MENOLAK"/>
  </r>
  <r>
    <n v="80"/>
    <s v="6 ODP no BAK"/>
    <x v="0"/>
    <s v="Kab Bogor"/>
    <x v="14"/>
    <x v="62"/>
    <s v="Nanggewer Mekar RW 8"/>
    <s v="Nanggewer Nanggewer Mekar"/>
    <n v="2206"/>
    <n v="359"/>
    <x v="8"/>
    <s v="TIDAK ADA ASET"/>
    <s v="no aset"/>
    <s v="arahim"/>
    <s v="NOVASI (ADA ASET)"/>
  </r>
  <r>
    <n v="81"/>
    <s v="6 ODP no BAK"/>
    <x v="0"/>
    <s v="Kab Bogor"/>
    <x v="14"/>
    <x v="63"/>
    <s v="Nanggewer RW 12"/>
    <s v="Nanggewer"/>
    <n v="2207"/>
    <n v="529"/>
    <x v="5"/>
    <s v="MENOLAK TTD"/>
    <s v="menolak"/>
    <s v="arahim"/>
    <s v="PERLU INFO DETAIL ALASAN MENOLAK"/>
  </r>
  <r>
    <n v="82"/>
    <s v="6 ODP no BAK"/>
    <x v="1"/>
    <s v="Kab Kudus"/>
    <x v="5"/>
    <x v="64"/>
    <s v="Nganguk RW 1"/>
    <s v="Bhakti"/>
    <n v="2212"/>
    <n v="136"/>
    <x v="5"/>
    <s v="TIDAK ADA IZIN"/>
    <s v="menolak"/>
    <m/>
    <s v="HARUS PERMIT DARI AWAL"/>
  </r>
  <r>
    <n v="83"/>
    <s v="6 ODP no BAK"/>
    <x v="1"/>
    <s v="Kab Kudus"/>
    <x v="18"/>
    <x v="65"/>
    <s v="Ngembal Rejo RW 1"/>
    <s v="SIWALAN"/>
    <n v="2213"/>
    <n v="848"/>
    <x v="0"/>
    <s v="TIDAK ADA IZIN"/>
    <s v="menolak"/>
    <m/>
    <s v="HARUS PERMIT DARI AWAL"/>
  </r>
  <r>
    <n v="84"/>
    <s v="6 ODP no BAK"/>
    <x v="1"/>
    <s v="Semarang"/>
    <x v="23"/>
    <x v="66"/>
    <s v="Palebon RW 6"/>
    <s v="Tlogo Timur Raya"/>
    <n v="2216"/>
    <n v="249"/>
    <x v="5"/>
    <s v="MENOLAK TTD"/>
    <s v="menolak"/>
    <m/>
    <s v="PERLU INFO DETAIL ALASAN MENOLAK"/>
  </r>
  <r>
    <n v="85"/>
    <s v="6 ODP no BAK"/>
    <x v="1"/>
    <s v="Banyumas"/>
    <x v="35"/>
    <x v="67"/>
    <s v="Pamijen RW 4"/>
    <s v="Berkoh"/>
    <n v="2220"/>
    <n v="426"/>
    <x v="5"/>
    <s v="MENOLAK TTD"/>
    <s v="menolak"/>
    <m/>
    <s v="PERLU INFO DETAIL ALASAN MENOLAK"/>
  </r>
  <r>
    <n v="86"/>
    <s v="6 ODP no BAK"/>
    <x v="1"/>
    <s v="Semarang"/>
    <x v="21"/>
    <x v="68"/>
    <s v="Pandean Lamper RW 11"/>
    <s v="PANDEANLAMPER"/>
    <n v="2224"/>
    <n v="400"/>
    <x v="5"/>
    <s v="MENOLAK TTD"/>
    <s v="menolak"/>
    <m/>
    <s v="PERLU INFO DETAIL ALASAN MENOLAK"/>
  </r>
  <r>
    <n v="87"/>
    <s v="6 ODP no BAK"/>
    <x v="1"/>
    <s v="Semarang"/>
    <x v="30"/>
    <x v="68"/>
    <s v="Pandean Lamper RW 3"/>
    <n v="0"/>
    <n v="2226"/>
    <n v="238"/>
    <x v="5"/>
    <s v="MENOLAK TTD"/>
    <s v="menolak"/>
    <m/>
    <s v="PERLU INFO DETAIL ALASAN MENOLAK"/>
  </r>
  <r>
    <n v="88"/>
    <s v="6 ODP no BAK"/>
    <x v="1"/>
    <s v="Semarang"/>
    <x v="21"/>
    <x v="68"/>
    <s v="Pandean Lamper RW 9"/>
    <s v="SIWALAN"/>
    <n v="2228"/>
    <n v="793"/>
    <x v="8"/>
    <s v="MENOLAK TTD"/>
    <s v="menolak"/>
    <m/>
    <s v="PERLU INFO DETAIL ALASAN MENOLAK"/>
  </r>
  <r>
    <n v="89"/>
    <s v="6 ODP no BAK"/>
    <x v="2"/>
    <s v="Tangerang"/>
    <x v="19"/>
    <x v="69"/>
    <s v="Pasir Jaya RW 1"/>
    <s v="Perumahan Griya Yasa"/>
    <n v="2236"/>
    <n v="307"/>
    <x v="0"/>
    <s v="SALAH ALAMAT PERUMAHAN GRIYA YASA TIDAK ADA DI PASIR JAYA NAMUN DI PASIR GADUNG"/>
    <s v="salah alamat"/>
    <s v="rama"/>
    <s v="PGY.01-A02 - LOKSASI ODP DI PASIR JAYA RW 01"/>
  </r>
  <r>
    <n v="90"/>
    <s v="6 ODP no BAK"/>
    <x v="0"/>
    <s v="Kab Bogor"/>
    <x v="36"/>
    <x v="70"/>
    <s v="Pasir Laja RW 8"/>
    <s v="Pasirjaya"/>
    <n v="2239"/>
    <n v="482"/>
    <x v="8"/>
    <s v="TIDAK ADA ASET"/>
    <s v="no aset"/>
    <s v="wawi"/>
    <s v="NOVASI (ADA ASET)"/>
  </r>
  <r>
    <n v="91"/>
    <s v="6 ODP no BAK"/>
    <x v="0"/>
    <s v="Depok"/>
    <x v="16"/>
    <x v="71"/>
    <s v="Pengasinan RW 12"/>
    <s v="Pengasinan"/>
    <n v="2243"/>
    <n v="311"/>
    <x v="5"/>
    <s v="MENOLAK BERTEMU"/>
    <s v="menolak"/>
    <s v="putri"/>
    <s v="PERLU INFO DETAIL ALASAN MENOLAK"/>
  </r>
  <r>
    <n v="92"/>
    <s v="6 ODP no BAK"/>
    <x v="2"/>
    <s v="Tangerang"/>
    <x v="37"/>
    <x v="72"/>
    <s v="Pete A RW"/>
    <s v="Perumahan Puri Permai 1"/>
    <n v="2245"/>
    <n v="55"/>
    <x v="5"/>
    <s v="MENOLAK TTD"/>
    <s v="menolak"/>
    <s v="pak marsidi"/>
    <s v="PERLU INFO DETAIL ALASAN MENOLAK"/>
  </r>
  <r>
    <n v="93"/>
    <s v="6 ODP no BAK"/>
    <x v="1"/>
    <s v="Semarang"/>
    <x v="23"/>
    <x v="73"/>
    <s v="Plamongansari RW 12"/>
    <s v="Pedurungan"/>
    <n v="2249"/>
    <n v="393"/>
    <x v="5"/>
    <s v="TIDAK ADA ASET"/>
    <s v="no aset"/>
    <m/>
    <s v="NOVASI (ADA ASET)"/>
  </r>
  <r>
    <n v="94"/>
    <s v="6 ODP no BAK"/>
    <x v="1"/>
    <s v="Semarang"/>
    <x v="23"/>
    <x v="73"/>
    <s v="Plamongansari RW 13"/>
    <s v="Plamongansari"/>
    <n v="2250"/>
    <n v="225"/>
    <x v="13"/>
    <s v="MENOLAK TTD"/>
    <s v="menolak"/>
    <m/>
    <s v="PERLU INFO DETAIL ALASAN MENOLAK"/>
  </r>
  <r>
    <n v="95"/>
    <s v="6 ODP no BAK"/>
    <x v="1"/>
    <s v="Banyumas"/>
    <x v="31"/>
    <x v="74"/>
    <s v="Pliken RW 5"/>
    <s v="Pliken"/>
    <n v="2260"/>
    <n v="268"/>
    <x v="5"/>
    <s v="TIDAK ADA ASET"/>
    <s v="no aset"/>
    <m/>
    <s v="NOVASI (ADA ASET)"/>
  </r>
  <r>
    <n v="96"/>
    <s v="6 ODP no BAK"/>
    <x v="1"/>
    <s v="Kab Kudus"/>
    <x v="20"/>
    <x v="75"/>
    <s v="Prambatan Lor RW 1"/>
    <s v="Kec Kaliwungu"/>
    <n v="2264"/>
    <n v="894"/>
    <x v="9"/>
    <s v="TIDAK ADA IZIN"/>
    <s v="menolak"/>
    <m/>
    <s v="HARUS PERMIT DARI AWAL"/>
  </r>
  <r>
    <n v="97"/>
    <s v="6 ODP no BAK"/>
    <x v="1"/>
    <s v="Kab Kudus"/>
    <x v="20"/>
    <x v="75"/>
    <s v="Prambatan Lor RW 3"/>
    <s v="Kec Kaliwungu"/>
    <n v="2265"/>
    <n v="726"/>
    <x v="5"/>
    <s v="TIDAK ADA IZIN"/>
    <s v="menolak"/>
    <m/>
    <s v="HARUS PERMIT DARI AWAL"/>
  </r>
  <r>
    <n v="98"/>
    <s v="6 ODP no BAK"/>
    <x v="1"/>
    <s v="Kab Kudus"/>
    <x v="38"/>
    <x v="76"/>
    <s v="Purwosari RW 8"/>
    <s v="Ganesha Raya"/>
    <n v="2269"/>
    <n v="369"/>
    <x v="5"/>
    <s v="TIDAK ADA IZIN"/>
    <s v="menolak"/>
    <m/>
    <s v="HARUS PERMIT DARI AWAL"/>
  </r>
  <r>
    <n v="99"/>
    <s v="6 ODP no BAK"/>
    <x v="1"/>
    <s v="Kab Kudus"/>
    <x v="5"/>
    <x v="76"/>
    <s v="Purwosari RW 9"/>
    <s v="Damaran"/>
    <n v="2270"/>
    <n v="205"/>
    <x v="5"/>
    <s v="TIDAK ADA IZIN"/>
    <s v="menolak"/>
    <m/>
    <s v="HARUS PERMIT DARI AWAL"/>
  </r>
  <r>
    <n v="100"/>
    <s v="6 ODP no BAK"/>
    <x v="1"/>
    <s v="Semarang"/>
    <x v="27"/>
    <x v="77"/>
    <s v="Rejosari Taman Rejosari"/>
    <n v="0"/>
    <n v="2288"/>
    <n v="0"/>
    <x v="5"/>
    <s v="TIDAK ADA ASET"/>
    <s v="no aset"/>
    <m/>
    <s v="NOVASI (ADA ASET)"/>
  </r>
  <r>
    <n v="101"/>
    <s v="6 ODP no BAK"/>
    <x v="1"/>
    <s v="Kab Kudus"/>
    <x v="5"/>
    <x v="78"/>
    <s v="Rendeng RW 6"/>
    <s v="Bhakti"/>
    <n v="2290"/>
    <n v="217"/>
    <x v="5"/>
    <s v="SALAH ALAMAT"/>
    <s v="salah alamat"/>
    <m/>
    <s v="K-BKT1.01-A02 - LOKASI ODP DI RENDENG RW 07"/>
  </r>
  <r>
    <n v="102"/>
    <s v="6 ODP no BAK"/>
    <x v="1"/>
    <s v="Semarang"/>
    <x v="27"/>
    <x v="79"/>
    <s v="Sambirejo Relokasi Pasar Johar"/>
    <s v="SAWAH BESAR"/>
    <n v="2292"/>
    <n v="0"/>
    <x v="5"/>
    <s v="TIDAK ADA ASET"/>
    <s v="no aset"/>
    <m/>
    <s v="NOVASI (ADA ASET)"/>
  </r>
  <r>
    <n v="103"/>
    <s v="6 ODP no BAK"/>
    <x v="1"/>
    <s v="Semarang"/>
    <x v="21"/>
    <x v="80"/>
    <s v="Sambirejo RW 3"/>
    <n v="0"/>
    <n v="2294"/>
    <n v="372"/>
    <x v="0"/>
    <s v="SALAH ALAMAT"/>
    <s v="salah alamat"/>
    <m/>
    <s v="ODP-GJR-01 - LOKASI ODP DI SAMBIREJO RW 03"/>
  </r>
  <r>
    <n v="104"/>
    <s v="6 ODP no BAK"/>
    <x v="1"/>
    <s v="Semarang"/>
    <x v="28"/>
    <x v="81"/>
    <s v="Sambiroto RW 1"/>
    <s v="Tandang"/>
    <n v="2298"/>
    <n v="201"/>
    <x v="8"/>
    <s v="MENOLAK TTD"/>
    <s v="menolak"/>
    <m/>
    <s v="PERLU INFO DETAIL ALASAN MENOLAK"/>
  </r>
  <r>
    <n v="105"/>
    <s v="6 ODP no BAK"/>
    <x v="1"/>
    <s v="Semarang"/>
    <x v="27"/>
    <x v="82"/>
    <s v="Sarirejo RW 4"/>
    <s v="SARIREJO"/>
    <n v="2299"/>
    <n v="194"/>
    <x v="0"/>
    <s v="TIDAK ADA ASET"/>
    <s v="no aset"/>
    <m/>
    <s v="NOVASI (ADA ASET)"/>
  </r>
  <r>
    <n v="106"/>
    <s v="6 ODP no BAK"/>
    <x v="0"/>
    <s v="Kab Bogor"/>
    <x v="7"/>
    <x v="83"/>
    <s v="Sasak Panjang RW 3"/>
    <s v="Kp Ragajaya"/>
    <n v="2304"/>
    <n v="311"/>
    <x v="6"/>
    <s v="MENOLAK TTD"/>
    <s v="menolak"/>
    <s v="raka"/>
    <s v="PERLU INFO DETAIL ALASAN MENOLAK"/>
  </r>
  <r>
    <n v="107"/>
    <s v="6 ODP no BAK"/>
    <x v="1"/>
    <s v="Semarang"/>
    <x v="21"/>
    <x v="84"/>
    <s v="Sawahbesar Lahan Terbuka (Pkl Sawah Besar)"/>
    <s v="SIWALAN"/>
    <n v="2305"/>
    <n v="4"/>
    <x v="5"/>
    <s v="SALAH ALAMAT"/>
    <s v="salah alamat"/>
    <m/>
    <s v="TIDAK JELAS AREA YANG DIMAKSUD"/>
  </r>
  <r>
    <n v="108"/>
    <s v="6 ODP no BAK"/>
    <x v="1"/>
    <s v="Semarang"/>
    <x v="21"/>
    <x v="85"/>
    <s v="Sawahbesar RW 5"/>
    <s v="SAWAH BESAR"/>
    <n v="2308"/>
    <n v="272"/>
    <x v="8"/>
    <s v="MENOLAK TTD"/>
    <s v="menolak"/>
    <m/>
    <s v="PERLU INFO DETAIL ALASAN MENOLAK"/>
  </r>
  <r>
    <n v="109"/>
    <s v="6 ODP no BAK"/>
    <x v="1"/>
    <s v="Semarang"/>
    <x v="21"/>
    <x v="85"/>
    <s v="Sawahbesar RW 8"/>
    <s v="SAWAH BESAR"/>
    <n v="2311"/>
    <n v="339"/>
    <x v="10"/>
    <s v="MINTA SEMUA PERMIT &amp; PUPR "/>
    <s v="Faktor JLM &amp; AMT"/>
    <m/>
    <s v="MINTA PERIJINAN DARI PUPR "/>
  </r>
  <r>
    <n v="110"/>
    <s v="6 ODP no BAK"/>
    <x v="1"/>
    <s v="Semarang"/>
    <x v="28"/>
    <x v="86"/>
    <s v="Sendangguwo RW 1"/>
    <n v="0"/>
    <n v="2316"/>
    <n v="1706"/>
    <x v="5"/>
    <s v="TIDAK ADA ASET"/>
    <s v="no aset"/>
    <m/>
    <s v="NOVASI (ADA ASET)"/>
  </r>
  <r>
    <n v="111"/>
    <s v="6 ODP no BAK"/>
    <x v="1"/>
    <s v="Semarang"/>
    <x v="28"/>
    <x v="86"/>
    <s v="Sendangguwo RW 4"/>
    <n v="0"/>
    <n v="2317"/>
    <n v="838"/>
    <x v="5"/>
    <s v="TIDAK ADA IZIN"/>
    <s v="menolak"/>
    <m/>
    <s v="HARUS PERMIT DARI AWAL"/>
  </r>
  <r>
    <n v="112"/>
    <s v="6 ODP no BAK"/>
    <x v="0"/>
    <s v="Kab Bogor"/>
    <x v="39"/>
    <x v="87"/>
    <s v="Sinarsari RW 4"/>
    <s v="Dramaga"/>
    <n v="2324"/>
    <n v="424"/>
    <x v="5"/>
    <s v="MENOLAK TTD"/>
    <s v="menolak"/>
    <s v="rinjani"/>
    <s v="PERLU INFO DETAIL ALASAN MENOLAK"/>
  </r>
  <r>
    <n v="113"/>
    <s v="6 ODP no BAK"/>
    <x v="0"/>
    <s v="Kab Bogor"/>
    <x v="33"/>
    <x v="88"/>
    <s v="Situsari RW 10"/>
    <s v="Situsari"/>
    <n v="2332"/>
    <n v="440"/>
    <x v="10"/>
    <s v="MENOLAK TTD"/>
    <s v="menolak"/>
    <s v="wawi"/>
    <s v="PERLU INFO DETAIL ALASAN MENOLAK"/>
  </r>
  <r>
    <n v="114"/>
    <s v="6 ODP no BAK"/>
    <x v="2"/>
    <s v="Tangerang"/>
    <x v="40"/>
    <x v="89"/>
    <s v="Sukabakti RW 10"/>
    <s v="Sukabakti"/>
    <n v="2351"/>
    <n v="495"/>
    <x v="6"/>
    <s v="PIHAK RW SE KELURAHAN SUKABAKTI PERNAH ADA MASALAH SAMA ASIANET, JADI BELUM MAU TTD"/>
    <s v="Faktor JLM &amp; AMT"/>
    <s v="pak marsidi"/>
    <s v="NOVASI (ADA ASET)"/>
  </r>
  <r>
    <n v="115"/>
    <s v="6 ODP no BAK"/>
    <x v="2"/>
    <s v="Tangerang"/>
    <x v="40"/>
    <x v="89"/>
    <s v="Sukabakti RW 13"/>
    <n v="0"/>
    <n v="2352"/>
    <n v="375"/>
    <x v="5"/>
    <s v="PIHAK RW SE KELURAHAN SUKABAKTI PERNAH ADA MASALAH SAMA ASIANET, JADI BELUM MAU TTD"/>
    <s v="Faktor JLM &amp; AMT"/>
    <s v="pak marsidi"/>
    <s v="NOVASI (ADA ASET)"/>
  </r>
  <r>
    <n v="116"/>
    <s v="6 ODP no BAK"/>
    <x v="2"/>
    <s v="Tangerang"/>
    <x v="40"/>
    <x v="89"/>
    <s v="Sukabakti RW 14"/>
    <s v="Sukabakti"/>
    <n v="2353"/>
    <n v="199"/>
    <x v="1"/>
    <s v="PIHAK RW SE KELURAHAN SUKABAKTI PERNAH ADA MASALAH SAMA ASIANET, JADI BELUM MAU TTD"/>
    <s v="Faktor JLM &amp; AMT"/>
    <s v="pak marsidi"/>
    <s v="NOVASI (ADA ASET)"/>
  </r>
  <r>
    <n v="117"/>
    <s v="6 ODP no BAK"/>
    <x v="2"/>
    <s v="Tangerang"/>
    <x v="40"/>
    <x v="89"/>
    <s v="Sukabakti RW 3"/>
    <s v="Sukabakti"/>
    <n v="2354"/>
    <n v="177"/>
    <x v="0"/>
    <s v="PIHAK RW SE KELURAHAN SUKABAKTI PERNAH ADA MASALAH SAMA ASIANET, JADI BELUM MAU TTD"/>
    <s v="Faktor JLM &amp; AMT"/>
    <s v="pak marsidi"/>
    <s v="NOVASI (ADA ASET)"/>
  </r>
  <r>
    <n v="118"/>
    <s v="6 ODP no BAK"/>
    <x v="2"/>
    <s v="Tangerang"/>
    <x v="40"/>
    <x v="89"/>
    <s v="Sukabakti RW 6"/>
    <s v="Sukabakti"/>
    <n v="2355"/>
    <n v="447"/>
    <x v="9"/>
    <s v="PIHAK RW SE KELURAHAN SUKABAKTI PERNAH ADA MASALAH SAMA ASIANET, JADI BELUM MAU TTD"/>
    <s v="Faktor JLM &amp; AMT"/>
    <s v="pak marsidi"/>
    <s v="NOVASI (ADA ASET)"/>
  </r>
  <r>
    <n v="119"/>
    <s v="6 ODP no BAK"/>
    <x v="0"/>
    <s v="Depok"/>
    <x v="41"/>
    <x v="90"/>
    <s v="Sukamaju Baru RW 6"/>
    <s v="Kp Sindangkarsa"/>
    <n v="2361"/>
    <n v="1232"/>
    <x v="5"/>
    <s v="TIDAK ADA ASET"/>
    <s v="no aset"/>
    <s v="putri"/>
    <s v="NOVASI (ADA ASET)"/>
  </r>
  <r>
    <n v="120"/>
    <s v="6 ODP no BAK"/>
    <x v="2"/>
    <s v="Tangerang"/>
    <x v="19"/>
    <x v="91"/>
    <s v="Talaga Sari RW 6"/>
    <s v="Perumahan Griya Yasa"/>
    <n v="2386"/>
    <n v="326"/>
    <x v="5"/>
    <s v="MENOLAK TTD"/>
    <s v="menolak"/>
    <s v="pak marsidi"/>
    <s v="PERLU INFO DETAIL ALASAN MENOLAK"/>
  </r>
  <r>
    <n v="121"/>
    <s v="6 ODP no BAK"/>
    <x v="0"/>
    <s v="Bekasi"/>
    <x v="11"/>
    <x v="92"/>
    <s v="Taman Sari RW 2"/>
    <s v="Taman Sari"/>
    <n v="2387"/>
    <n v="253"/>
    <x v="3"/>
    <s v="MENOLAK TTD"/>
    <s v="menolak"/>
    <s v="pak abas"/>
    <s v="PERLU INFO DETAIL ALASAN MENOLAK"/>
  </r>
  <r>
    <n v="122"/>
    <s v="6 ODP no BAK"/>
    <x v="0"/>
    <s v="Bekasi"/>
    <x v="42"/>
    <x v="93"/>
    <s v="Telajung RW 10"/>
    <s v="Telajung"/>
    <n v="2400"/>
    <n v="280"/>
    <x v="5"/>
    <s v="MENOLAK TTD"/>
    <s v="menolak"/>
    <s v="pak abas"/>
    <s v="PERLU INFO DETAIL ALASAN MENOLAK"/>
  </r>
  <r>
    <n v="123"/>
    <s v="6 ODP no BAK"/>
    <x v="0"/>
    <s v="Bekasi"/>
    <x v="42"/>
    <x v="93"/>
    <s v="Telajung RW 5"/>
    <s v="Telajung"/>
    <n v="2402"/>
    <n v="460"/>
    <x v="5"/>
    <s v="MENOLAK TTD"/>
    <s v="menolak"/>
    <s v="pak abas"/>
    <s v="PERLU INFO DETAIL ALASAN MENOLAK"/>
  </r>
  <r>
    <n v="124"/>
    <s v="6 ODP no BAK"/>
    <x v="0"/>
    <s v="Bekasi"/>
    <x v="42"/>
    <x v="93"/>
    <s v="Telajung RW 7"/>
    <s v="Telajung"/>
    <n v="2403"/>
    <n v="876"/>
    <x v="5"/>
    <s v="MENOLAK TTD"/>
    <s v="menolak"/>
    <s v="pak abas"/>
    <s v="PERLU INFO DETAIL ALASAN MENOLAK"/>
  </r>
  <r>
    <n v="125"/>
    <s v="6 ODP no BAK"/>
    <x v="0"/>
    <s v="Bekasi"/>
    <x v="11"/>
    <x v="93"/>
    <s v="Telajung RW 9"/>
    <s v="Telajung"/>
    <n v="2404"/>
    <n v="610"/>
    <x v="6"/>
    <s v="MENOLAK TTD"/>
    <s v="menolak"/>
    <s v="pak abas"/>
    <s v="PERLU INFO DETAIL ALASAN MENOLAK"/>
  </r>
  <r>
    <n v="126"/>
    <s v="6 ODP no BAK"/>
    <x v="1"/>
    <s v="Banyumas"/>
    <x v="26"/>
    <x v="94"/>
    <s v="Teluk RW 5"/>
    <n v="0"/>
    <n v="2407"/>
    <n v="158"/>
    <x v="5"/>
    <s v="SALAH ALAMAT"/>
    <s v="salah alamat"/>
    <m/>
    <s v="R-KNS6.01-A10 - LOKASI ODP DI KARANGNANAS RW 06"/>
  </r>
  <r>
    <n v="127"/>
    <s v="6 ODP no BAK"/>
    <x v="0"/>
    <s v="Kab Bogor"/>
    <x v="14"/>
    <x v="95"/>
    <s v="Tengah RW 8"/>
    <s v="Ruko Cibinong Griya Asri"/>
    <n v="2408"/>
    <n v="271"/>
    <x v="5"/>
    <s v="DUGAAN PEMALSUAN TTD DAN CAP RW "/>
    <s v="fraud"/>
    <s v="wildan"/>
    <s v="RCGA.01-A01 - LOKASI ODP DI RUKO CIBINONG GRIYA ASRI, TENGAH RW 08"/>
  </r>
  <r>
    <n v="128"/>
    <s v="6 ODP no BAK"/>
    <x v="1"/>
    <s v="Semarang"/>
    <x v="23"/>
    <x v="96"/>
    <s v="Tlogomulyo RW 1"/>
    <s v="Tlogosari Wetan"/>
    <n v="2412"/>
    <n v="312"/>
    <x v="0"/>
    <s v="TIDAK ADA ASET"/>
    <s v="no aset"/>
    <m/>
    <s v="NOVASI (ADA ASET)"/>
  </r>
  <r>
    <n v="129"/>
    <s v="6 ODP no BAK"/>
    <x v="1"/>
    <s v="Semarang"/>
    <x v="23"/>
    <x v="97"/>
    <s v="Tlogosari Kulon RW 27"/>
    <n v="0"/>
    <n v="2414"/>
    <n v="839"/>
    <x v="0"/>
    <s v="TIDAK ADA IZIN"/>
    <s v="menolak"/>
    <m/>
    <s v="HARUS PERMIT DARI AWAL"/>
  </r>
  <r>
    <n v="130"/>
    <s v="6 ODP no BAK"/>
    <x v="1"/>
    <s v="Semarang"/>
    <x v="23"/>
    <x v="97"/>
    <s v="Tlogosari Kulon RW 7"/>
    <s v="Tlogosari Kulon"/>
    <n v="2415"/>
    <n v="704"/>
    <x v="2"/>
    <s v="TIDAK ADA IZIN"/>
    <s v="menolak"/>
    <m/>
    <s v="HARUS PERMIT DARI AWAL"/>
  </r>
  <r>
    <n v="131"/>
    <s v="6 ODP no BAK"/>
    <x v="1"/>
    <s v="Kab Kudus"/>
    <x v="43"/>
    <x v="98"/>
    <s v="Tumpang Krasak RW 4"/>
    <s v="Tumpang Krasak"/>
    <n v="2418"/>
    <n v="186"/>
    <x v="5"/>
    <s v="TIDAK ADA IZIN"/>
    <s v="menolak"/>
    <m/>
    <s v="HARUS PERMIT DARI AWAL"/>
  </r>
  <r>
    <n v="132"/>
    <s v="6 ODP no BAK"/>
    <x v="1"/>
    <s v="Kab Kudus"/>
    <x v="5"/>
    <x v="99"/>
    <s v="Wergu Kulon RW 2"/>
    <s v="Wergu Kulon"/>
    <n v="2426"/>
    <n v="221"/>
    <x v="5"/>
    <s v="TIDAK ADA IZIN"/>
    <s v="menolak"/>
    <m/>
    <s v="HARUS PERMIT DARI AWAL"/>
  </r>
  <r>
    <n v="133"/>
    <s v="6 ODP no BAK"/>
    <x v="1"/>
    <s v="Kab Kudus"/>
    <x v="5"/>
    <x v="99"/>
    <s v="Wergu Kulon RW 3"/>
    <s v="Wergu Kulon"/>
    <n v="2427"/>
    <n v="241"/>
    <x v="5"/>
    <s v="TIDAK ADA IZIN"/>
    <s v="menolak"/>
    <m/>
    <s v="HARUS PERMIT DARI AWAL"/>
  </r>
  <r>
    <n v="134"/>
    <s v="6 ODP no BAK"/>
    <x v="1"/>
    <s v="Kab Kudus"/>
    <x v="5"/>
    <x v="100"/>
    <s v="Wergu Wetan RW 3"/>
    <s v="Wergu Kulon"/>
    <n v="2428"/>
    <n v="325"/>
    <x v="5"/>
    <s v="TIDAK ADA IZIN"/>
    <s v="menolak"/>
    <m/>
    <s v="HARUS PERMIT DARI AWAL"/>
  </r>
  <r>
    <n v="135"/>
    <s v="6 ODP no BAK"/>
    <x v="1"/>
    <s v="Kab Kudus"/>
    <x v="5"/>
    <x v="100"/>
    <s v="Wergu Wetan RW 4"/>
    <s v="Wergu Kulon"/>
    <n v="2429"/>
    <n v="321"/>
    <x v="5"/>
    <s v="TIDAK ADA IZIN"/>
    <s v="menolak"/>
    <m/>
    <s v="HARUS PERMIT DARI AWAL"/>
  </r>
  <r>
    <n v="136"/>
    <s v="6 ODP no BAK"/>
    <x v="1"/>
    <s v="Banyumas"/>
    <x v="26"/>
    <x v="101"/>
    <s v="Wiradadi RW 3"/>
    <s v="Wiradadi"/>
    <n v="2431"/>
    <n v="388"/>
    <x v="6"/>
    <s v="TIDAK ADA IZIN"/>
    <s v="menolak"/>
    <m/>
    <s v="HARUS PERMIT DARI AWAL"/>
  </r>
  <r>
    <n v="137"/>
    <s v="6 ODP no BAK"/>
    <x v="1"/>
    <s v="Banyumas"/>
    <x v="26"/>
    <x v="101"/>
    <s v="Wiradadi RW 4"/>
    <s v="Karang Nanas"/>
    <n v="2432"/>
    <n v="499"/>
    <x v="4"/>
    <s v="MINTA SEMUA PERMIT &amp; PUPR "/>
    <s v="Faktor JLM &amp; AMT"/>
    <m/>
    <s v="MINTA PERIJINAN DARI PUPR "/>
  </r>
  <r>
    <n v="138"/>
    <s v="6 ODP no BAK"/>
    <x v="1"/>
    <s v="Semarang"/>
    <x v="21"/>
    <x v="102"/>
    <s v="Wonodri RW 13"/>
    <n v="0"/>
    <n v="2434"/>
    <n v="265"/>
    <x v="5"/>
    <s v="TIDAK ADA ASET"/>
    <s v="no aset"/>
    <m/>
    <s v="NOVASI (ADA ASET)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F2D6C7-BB20-4FBC-B4AD-056C871BFECD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C8" firstHeaderRow="0" firstDataRow="1" firstDataCol="1"/>
  <pivotFields count="15"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>
      <items count="45">
        <item x="18"/>
        <item x="8"/>
        <item x="0"/>
        <item x="4"/>
        <item x="17"/>
        <item x="7"/>
        <item x="10"/>
        <item x="12"/>
        <item x="14"/>
        <item x="42"/>
        <item x="19"/>
        <item x="33"/>
        <item x="24"/>
        <item x="34"/>
        <item x="40"/>
        <item x="39"/>
        <item x="25"/>
        <item x="21"/>
        <item x="2"/>
        <item x="9"/>
        <item x="43"/>
        <item x="20"/>
        <item x="1"/>
        <item x="31"/>
        <item x="3"/>
        <item x="38"/>
        <item x="5"/>
        <item x="6"/>
        <item x="15"/>
        <item x="32"/>
        <item x="22"/>
        <item x="23"/>
        <item x="35"/>
        <item x="16"/>
        <item x="30"/>
        <item x="29"/>
        <item x="27"/>
        <item x="11"/>
        <item x="26"/>
        <item x="36"/>
        <item x="13"/>
        <item x="41"/>
        <item x="28"/>
        <item x="37"/>
        <item t="default"/>
      </items>
    </pivotField>
    <pivotField showAll="0">
      <items count="104">
        <item x="0"/>
        <item x="1"/>
        <item x="2"/>
        <item x="3"/>
        <item x="4"/>
        <item x="5"/>
        <item x="6"/>
        <item x="7"/>
        <item x="9"/>
        <item x="8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1"/>
        <item x="30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3"/>
        <item x="62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80"/>
        <item x="79"/>
        <item x="81"/>
        <item x="82"/>
        <item x="83"/>
        <item x="85"/>
        <item x="84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showAll="0"/>
    <pivotField showAll="0"/>
    <pivotField showAll="0"/>
    <pivotField dataField="1" showAll="0"/>
    <pivotField dataField="1" showAll="0">
      <items count="15">
        <item x="5"/>
        <item x="0"/>
        <item x="8"/>
        <item x="9"/>
        <item x="6"/>
        <item x="4"/>
        <item x="3"/>
        <item x="10"/>
        <item x="13"/>
        <item x="1"/>
        <item x="2"/>
        <item x="12"/>
        <item x="7"/>
        <item x="11"/>
        <item t="default"/>
      </items>
    </pivotField>
    <pivotField showAll="0"/>
    <pivotField showAll="0"/>
    <pivotField showAll="0"/>
    <pivotField showAll="0"/>
  </pivotFields>
  <rowFields count="1">
    <field x="2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ODP" fld="10" subtotal="count" baseField="0" baseItem="0"/>
    <dataField name="Sum of Homepass" fld="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43366-CD77-4613-A8FA-E59FA426651E}">
  <dimension ref="A3:C8"/>
  <sheetViews>
    <sheetView tabSelected="1" workbookViewId="0">
      <selection activeCell="J26" sqref="J26"/>
    </sheetView>
  </sheetViews>
  <sheetFormatPr defaultRowHeight="15" x14ac:dyDescent="0.25"/>
  <cols>
    <col min="1" max="2" width="13.42578125" bestFit="1" customWidth="1"/>
    <col min="3" max="3" width="17.5703125" bestFit="1" customWidth="1"/>
  </cols>
  <sheetData>
    <row r="3" spans="1:3" x14ac:dyDescent="0.25">
      <c r="A3" s="14" t="s">
        <v>417</v>
      </c>
      <c r="B3" t="s">
        <v>419</v>
      </c>
      <c r="C3" t="s">
        <v>420</v>
      </c>
    </row>
    <row r="4" spans="1:3" x14ac:dyDescent="0.25">
      <c r="A4" s="6" t="s">
        <v>98</v>
      </c>
      <c r="B4" s="15">
        <v>9</v>
      </c>
      <c r="C4" s="15">
        <v>2698</v>
      </c>
    </row>
    <row r="5" spans="1:3" x14ac:dyDescent="0.25">
      <c r="A5" s="6" t="s">
        <v>221</v>
      </c>
      <c r="B5" s="15">
        <v>1</v>
      </c>
      <c r="C5" s="15">
        <v>1109</v>
      </c>
    </row>
    <row r="6" spans="1:3" x14ac:dyDescent="0.25">
      <c r="A6" s="6" t="s">
        <v>66</v>
      </c>
      <c r="B6" s="15">
        <v>56</v>
      </c>
      <c r="C6" s="15">
        <v>27844</v>
      </c>
    </row>
    <row r="7" spans="1:3" x14ac:dyDescent="0.25">
      <c r="A7" s="6" t="s">
        <v>69</v>
      </c>
      <c r="B7" s="15">
        <v>72</v>
      </c>
      <c r="C7" s="15">
        <v>26345</v>
      </c>
    </row>
    <row r="8" spans="1:3" x14ac:dyDescent="0.25">
      <c r="A8" s="6" t="s">
        <v>418</v>
      </c>
      <c r="B8" s="15">
        <v>138</v>
      </c>
      <c r="C8" s="15">
        <v>57996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EA87-E69C-4C85-AAD7-87EFA54C95DC}">
  <dimension ref="A1:O140"/>
  <sheetViews>
    <sheetView zoomScale="80" zoomScaleNormal="80" workbookViewId="0">
      <selection sqref="A1:XFD1048576"/>
    </sheetView>
  </sheetViews>
  <sheetFormatPr defaultColWidth="86" defaultRowHeight="15" x14ac:dyDescent="0.25"/>
  <cols>
    <col min="1" max="1" width="9.42578125" style="4" bestFit="1" customWidth="1"/>
    <col min="2" max="2" width="19.140625" bestFit="1" customWidth="1"/>
    <col min="3" max="3" width="13.85546875" bestFit="1" customWidth="1"/>
    <col min="4" max="4" width="16.42578125" bestFit="1" customWidth="1"/>
    <col min="5" max="5" width="18.28515625" bestFit="1" customWidth="1"/>
    <col min="6" max="6" width="36.28515625" bestFit="1" customWidth="1"/>
    <col min="7" max="7" width="42.7109375" bestFit="1" customWidth="1"/>
    <col min="8" max="8" width="36.85546875" bestFit="1" customWidth="1"/>
    <col min="9" max="9" width="11.7109375" style="6" bestFit="1" customWidth="1"/>
    <col min="10" max="10" width="16.28515625" style="4" bestFit="1" customWidth="1"/>
    <col min="11" max="11" width="10.85546875" style="4" bestFit="1" customWidth="1"/>
    <col min="12" max="12" width="45.85546875" style="13" bestFit="1" customWidth="1"/>
    <col min="13" max="13" width="21.7109375" bestFit="1" customWidth="1"/>
    <col min="14" max="14" width="13.5703125" bestFit="1" customWidth="1"/>
    <col min="15" max="15" width="51.7109375" style="13" bestFit="1" customWidth="1"/>
  </cols>
  <sheetData>
    <row r="1" spans="1:15" s="9" customFormat="1" ht="18.75" x14ac:dyDescent="0.3">
      <c r="A1" s="8"/>
      <c r="B1" s="1">
        <f>SUBTOTAL(3,B3:B140)</f>
        <v>138</v>
      </c>
      <c r="I1" s="10"/>
      <c r="J1" s="1">
        <f>SUBTOTAL(9,J3:J140)</f>
        <v>57996</v>
      </c>
      <c r="K1" s="1">
        <f>SUBTOTAL(9,K3:K140)</f>
        <v>398</v>
      </c>
      <c r="L1" s="11"/>
      <c r="O1" s="11"/>
    </row>
    <row r="2" spans="1:15" s="4" customForma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</row>
    <row r="3" spans="1:15" ht="30" x14ac:dyDescent="0.25">
      <c r="A3" s="5">
        <v>1</v>
      </c>
      <c r="B3" s="3" t="s">
        <v>135</v>
      </c>
      <c r="C3" s="3" t="s">
        <v>66</v>
      </c>
      <c r="D3" s="3" t="s">
        <v>136</v>
      </c>
      <c r="E3" s="3" t="s">
        <v>76</v>
      </c>
      <c r="F3" s="3" t="s">
        <v>137</v>
      </c>
      <c r="G3" s="3" t="s">
        <v>138</v>
      </c>
      <c r="H3" s="3" t="s">
        <v>104</v>
      </c>
      <c r="I3" s="7">
        <v>1834</v>
      </c>
      <c r="J3" s="5">
        <v>92</v>
      </c>
      <c r="K3" s="5">
        <v>2</v>
      </c>
      <c r="L3" s="12" t="s">
        <v>38</v>
      </c>
      <c r="M3" s="3" t="s">
        <v>28</v>
      </c>
      <c r="N3" s="3" t="s">
        <v>30</v>
      </c>
      <c r="O3" s="12" t="s">
        <v>39</v>
      </c>
    </row>
    <row r="4" spans="1:15" ht="30" x14ac:dyDescent="0.25">
      <c r="A4" s="5">
        <v>2</v>
      </c>
      <c r="B4" s="3" t="s">
        <v>135</v>
      </c>
      <c r="C4" s="3" t="s">
        <v>66</v>
      </c>
      <c r="D4" s="3" t="s">
        <v>136</v>
      </c>
      <c r="E4" s="3" t="s">
        <v>76</v>
      </c>
      <c r="F4" s="3" t="s">
        <v>137</v>
      </c>
      <c r="G4" s="3" t="s">
        <v>139</v>
      </c>
      <c r="H4" s="3" t="s">
        <v>104</v>
      </c>
      <c r="I4" s="7">
        <v>1835</v>
      </c>
      <c r="J4" s="5">
        <v>68</v>
      </c>
      <c r="K4" s="5">
        <v>2</v>
      </c>
      <c r="L4" s="12" t="s">
        <v>38</v>
      </c>
      <c r="M4" s="3" t="s">
        <v>28</v>
      </c>
      <c r="N4" s="3" t="s">
        <v>30</v>
      </c>
      <c r="O4" s="12" t="s">
        <v>39</v>
      </c>
    </row>
    <row r="5" spans="1:15" ht="30" x14ac:dyDescent="0.25">
      <c r="A5" s="5">
        <v>3</v>
      </c>
      <c r="B5" s="3" t="s">
        <v>135</v>
      </c>
      <c r="C5" s="3" t="s">
        <v>66</v>
      </c>
      <c r="D5" s="3" t="s">
        <v>114</v>
      </c>
      <c r="E5" s="3" t="s">
        <v>103</v>
      </c>
      <c r="F5" s="3" t="s">
        <v>137</v>
      </c>
      <c r="G5" s="3" t="s">
        <v>140</v>
      </c>
      <c r="H5" s="3" t="s">
        <v>141</v>
      </c>
      <c r="I5" s="7">
        <v>1836</v>
      </c>
      <c r="J5" s="5">
        <v>297</v>
      </c>
      <c r="K5" s="5">
        <v>10</v>
      </c>
      <c r="L5" s="12" t="s">
        <v>38</v>
      </c>
      <c r="M5" s="3" t="s">
        <v>28</v>
      </c>
      <c r="N5" s="3" t="s">
        <v>30</v>
      </c>
      <c r="O5" s="12" t="s">
        <v>39</v>
      </c>
    </row>
    <row r="6" spans="1:15" ht="30" x14ac:dyDescent="0.25">
      <c r="A6" s="5">
        <v>4</v>
      </c>
      <c r="B6" s="3" t="s">
        <v>135</v>
      </c>
      <c r="C6" s="3" t="s">
        <v>66</v>
      </c>
      <c r="D6" s="3" t="s">
        <v>114</v>
      </c>
      <c r="E6" s="3" t="s">
        <v>103</v>
      </c>
      <c r="F6" s="3" t="s">
        <v>137</v>
      </c>
      <c r="G6" s="3" t="s">
        <v>142</v>
      </c>
      <c r="H6" s="3" t="s">
        <v>141</v>
      </c>
      <c r="I6" s="7">
        <v>1837</v>
      </c>
      <c r="J6" s="5">
        <v>434</v>
      </c>
      <c r="K6" s="5">
        <v>12</v>
      </c>
      <c r="L6" s="12" t="s">
        <v>38</v>
      </c>
      <c r="M6" s="3" t="s">
        <v>28</v>
      </c>
      <c r="N6" s="3" t="s">
        <v>30</v>
      </c>
      <c r="O6" s="12" t="s">
        <v>39</v>
      </c>
    </row>
    <row r="7" spans="1:15" x14ac:dyDescent="0.25">
      <c r="A7" s="5">
        <v>5</v>
      </c>
      <c r="B7" s="3" t="s">
        <v>135</v>
      </c>
      <c r="C7" s="3" t="s">
        <v>69</v>
      </c>
      <c r="D7" s="3" t="s">
        <v>73</v>
      </c>
      <c r="E7" s="3" t="s">
        <v>88</v>
      </c>
      <c r="F7" s="3" t="s">
        <v>89</v>
      </c>
      <c r="G7" s="3" t="s">
        <v>143</v>
      </c>
      <c r="H7" s="3" t="s">
        <v>144</v>
      </c>
      <c r="I7" s="7">
        <v>1844</v>
      </c>
      <c r="J7" s="5">
        <v>178</v>
      </c>
      <c r="K7" s="5">
        <v>7</v>
      </c>
      <c r="L7" s="12" t="s">
        <v>21</v>
      </c>
      <c r="M7" s="3" t="s">
        <v>22</v>
      </c>
      <c r="N7" s="3"/>
      <c r="O7" s="12" t="s">
        <v>23</v>
      </c>
    </row>
    <row r="8" spans="1:15" x14ac:dyDescent="0.25">
      <c r="A8" s="5">
        <v>6</v>
      </c>
      <c r="B8" s="3" t="s">
        <v>135</v>
      </c>
      <c r="C8" s="3" t="s">
        <v>66</v>
      </c>
      <c r="D8" s="3" t="s">
        <v>114</v>
      </c>
      <c r="E8" s="3" t="s">
        <v>113</v>
      </c>
      <c r="F8" s="3" t="s">
        <v>145</v>
      </c>
      <c r="G8" s="3" t="s">
        <v>146</v>
      </c>
      <c r="H8" s="3" t="s">
        <v>147</v>
      </c>
      <c r="I8" s="7">
        <v>1846</v>
      </c>
      <c r="J8" s="5">
        <v>518</v>
      </c>
      <c r="K8" s="5">
        <v>6</v>
      </c>
      <c r="L8" s="12" t="s">
        <v>18</v>
      </c>
      <c r="M8" s="3" t="s">
        <v>19</v>
      </c>
      <c r="N8" s="3" t="s">
        <v>41</v>
      </c>
      <c r="O8" s="12" t="s">
        <v>29</v>
      </c>
    </row>
    <row r="9" spans="1:15" x14ac:dyDescent="0.25">
      <c r="A9" s="5">
        <v>7</v>
      </c>
      <c r="B9" s="3" t="s">
        <v>135</v>
      </c>
      <c r="C9" s="3" t="s">
        <v>66</v>
      </c>
      <c r="D9" s="3" t="s">
        <v>136</v>
      </c>
      <c r="E9" s="3" t="s">
        <v>148</v>
      </c>
      <c r="F9" s="3" t="s">
        <v>149</v>
      </c>
      <c r="G9" s="3" t="s">
        <v>150</v>
      </c>
      <c r="H9" s="3" t="s">
        <v>149</v>
      </c>
      <c r="I9" s="7">
        <v>1852</v>
      </c>
      <c r="J9" s="5">
        <v>552</v>
      </c>
      <c r="K9" s="5">
        <v>1</v>
      </c>
      <c r="L9" s="12" t="s">
        <v>21</v>
      </c>
      <c r="M9" s="3" t="s">
        <v>22</v>
      </c>
      <c r="N9" s="3" t="s">
        <v>27</v>
      </c>
      <c r="O9" s="12" t="s">
        <v>29</v>
      </c>
    </row>
    <row r="10" spans="1:15" x14ac:dyDescent="0.25">
      <c r="A10" s="5">
        <v>8</v>
      </c>
      <c r="B10" s="3" t="s">
        <v>135</v>
      </c>
      <c r="C10" s="3" t="s">
        <v>69</v>
      </c>
      <c r="D10" s="3" t="s">
        <v>151</v>
      </c>
      <c r="E10" s="3" t="s">
        <v>152</v>
      </c>
      <c r="F10" s="3" t="s">
        <v>153</v>
      </c>
      <c r="G10" s="3" t="s">
        <v>154</v>
      </c>
      <c r="H10" s="3" t="s">
        <v>155</v>
      </c>
      <c r="I10" s="7">
        <v>1853</v>
      </c>
      <c r="J10" s="5">
        <v>245</v>
      </c>
      <c r="K10" s="5">
        <v>1</v>
      </c>
      <c r="L10" s="12" t="s">
        <v>36</v>
      </c>
      <c r="M10" s="3" t="s">
        <v>22</v>
      </c>
      <c r="N10" s="3"/>
      <c r="O10" s="12" t="s">
        <v>44</v>
      </c>
    </row>
    <row r="11" spans="1:15" x14ac:dyDescent="0.25">
      <c r="A11" s="5">
        <v>9</v>
      </c>
      <c r="B11" s="3" t="s">
        <v>135</v>
      </c>
      <c r="C11" s="3" t="s">
        <v>69</v>
      </c>
      <c r="D11" s="3" t="s">
        <v>105</v>
      </c>
      <c r="E11" s="3" t="s">
        <v>74</v>
      </c>
      <c r="F11" s="3" t="s">
        <v>156</v>
      </c>
      <c r="G11" s="3" t="s">
        <v>157</v>
      </c>
      <c r="H11" s="3" t="s">
        <v>156</v>
      </c>
      <c r="I11" s="7">
        <v>1856</v>
      </c>
      <c r="J11" s="5">
        <v>0</v>
      </c>
      <c r="K11" s="5">
        <v>2</v>
      </c>
      <c r="L11" s="12" t="s">
        <v>25</v>
      </c>
      <c r="M11" s="3" t="s">
        <v>15</v>
      </c>
      <c r="N11" s="3"/>
      <c r="O11" s="12" t="s">
        <v>26</v>
      </c>
    </row>
    <row r="12" spans="1:15" x14ac:dyDescent="0.25">
      <c r="A12" s="5">
        <v>10</v>
      </c>
      <c r="B12" s="3" t="s">
        <v>135</v>
      </c>
      <c r="C12" s="3" t="s">
        <v>66</v>
      </c>
      <c r="D12" s="3" t="s">
        <v>114</v>
      </c>
      <c r="E12" s="3" t="s">
        <v>75</v>
      </c>
      <c r="F12" s="3" t="s">
        <v>75</v>
      </c>
      <c r="G12" s="3" t="s">
        <v>158</v>
      </c>
      <c r="H12" s="3" t="s">
        <v>75</v>
      </c>
      <c r="I12" s="7">
        <v>1861</v>
      </c>
      <c r="J12" s="5">
        <v>271</v>
      </c>
      <c r="K12" s="5">
        <v>5</v>
      </c>
      <c r="L12" s="12" t="s">
        <v>21</v>
      </c>
      <c r="M12" s="3" t="s">
        <v>22</v>
      </c>
      <c r="N12" s="3" t="s">
        <v>33</v>
      </c>
      <c r="O12" s="12" t="s">
        <v>29</v>
      </c>
    </row>
    <row r="13" spans="1:15" ht="45" x14ac:dyDescent="0.25">
      <c r="A13" s="5">
        <v>11</v>
      </c>
      <c r="B13" s="3" t="s">
        <v>135</v>
      </c>
      <c r="C13" s="3" t="s">
        <v>66</v>
      </c>
      <c r="D13" s="3" t="s">
        <v>71</v>
      </c>
      <c r="E13" s="3" t="s">
        <v>72</v>
      </c>
      <c r="F13" s="3" t="s">
        <v>159</v>
      </c>
      <c r="G13" s="3" t="s">
        <v>160</v>
      </c>
      <c r="H13" s="3" t="s">
        <v>72</v>
      </c>
      <c r="I13" s="7">
        <v>1866</v>
      </c>
      <c r="J13" s="5">
        <v>1164</v>
      </c>
      <c r="K13" s="5">
        <v>1</v>
      </c>
      <c r="L13" s="12" t="s">
        <v>45</v>
      </c>
      <c r="M13" s="3" t="s">
        <v>15</v>
      </c>
      <c r="N13" s="3" t="s">
        <v>32</v>
      </c>
      <c r="O13" s="12" t="s">
        <v>17</v>
      </c>
    </row>
    <row r="14" spans="1:15" ht="30" x14ac:dyDescent="0.25">
      <c r="A14" s="5">
        <v>12</v>
      </c>
      <c r="B14" s="3" t="s">
        <v>135</v>
      </c>
      <c r="C14" s="3" t="s">
        <v>66</v>
      </c>
      <c r="D14" s="3" t="s">
        <v>114</v>
      </c>
      <c r="E14" s="3" t="s">
        <v>91</v>
      </c>
      <c r="F14" s="3" t="s">
        <v>161</v>
      </c>
      <c r="G14" s="3" t="s">
        <v>162</v>
      </c>
      <c r="H14" s="3" t="s">
        <v>163</v>
      </c>
      <c r="I14" s="7">
        <v>1868</v>
      </c>
      <c r="J14" s="5">
        <v>0</v>
      </c>
      <c r="K14" s="5">
        <v>1</v>
      </c>
      <c r="L14" s="12" t="s">
        <v>46</v>
      </c>
      <c r="M14" s="3" t="s">
        <v>15</v>
      </c>
      <c r="N14" s="3" t="s">
        <v>32</v>
      </c>
      <c r="O14" s="12" t="s">
        <v>26</v>
      </c>
    </row>
    <row r="15" spans="1:15" x14ac:dyDescent="0.25">
      <c r="A15" s="5">
        <v>13</v>
      </c>
      <c r="B15" s="3" t="s">
        <v>135</v>
      </c>
      <c r="C15" s="3" t="s">
        <v>66</v>
      </c>
      <c r="D15" s="3" t="s">
        <v>114</v>
      </c>
      <c r="E15" s="3" t="s">
        <v>91</v>
      </c>
      <c r="F15" s="3" t="s">
        <v>163</v>
      </c>
      <c r="G15" s="3" t="s">
        <v>164</v>
      </c>
      <c r="H15" s="3" t="s">
        <v>165</v>
      </c>
      <c r="I15" s="7">
        <v>1869</v>
      </c>
      <c r="J15" s="5">
        <v>605</v>
      </c>
      <c r="K15" s="5">
        <v>64</v>
      </c>
      <c r="L15" s="12" t="s">
        <v>47</v>
      </c>
      <c r="M15" s="3" t="s">
        <v>28</v>
      </c>
      <c r="N15" s="3" t="s">
        <v>41</v>
      </c>
      <c r="O15" s="12" t="s">
        <v>29</v>
      </c>
    </row>
    <row r="16" spans="1:15" x14ac:dyDescent="0.25">
      <c r="A16" s="5">
        <v>14</v>
      </c>
      <c r="B16" s="3" t="s">
        <v>135</v>
      </c>
      <c r="C16" s="3" t="s">
        <v>66</v>
      </c>
      <c r="D16" s="3" t="s">
        <v>114</v>
      </c>
      <c r="E16" s="3" t="s">
        <v>91</v>
      </c>
      <c r="F16" s="3" t="s">
        <v>163</v>
      </c>
      <c r="G16" s="3" t="s">
        <v>166</v>
      </c>
      <c r="H16" s="3" t="s">
        <v>167</v>
      </c>
      <c r="I16" s="7">
        <v>1872</v>
      </c>
      <c r="J16" s="5">
        <v>302</v>
      </c>
      <c r="K16" s="5">
        <v>1</v>
      </c>
      <c r="L16" s="12" t="s">
        <v>48</v>
      </c>
      <c r="M16" s="3" t="s">
        <v>22</v>
      </c>
      <c r="N16" s="3" t="s">
        <v>41</v>
      </c>
      <c r="O16" s="12" t="s">
        <v>20</v>
      </c>
    </row>
    <row r="17" spans="1:15" x14ac:dyDescent="0.25">
      <c r="A17" s="5">
        <v>15</v>
      </c>
      <c r="B17" s="3" t="s">
        <v>135</v>
      </c>
      <c r="C17" s="3" t="s">
        <v>66</v>
      </c>
      <c r="D17" s="3" t="s">
        <v>68</v>
      </c>
      <c r="E17" s="3" t="s">
        <v>168</v>
      </c>
      <c r="F17" s="3" t="s">
        <v>168</v>
      </c>
      <c r="G17" s="3" t="s">
        <v>169</v>
      </c>
      <c r="H17" s="3" t="s">
        <v>170</v>
      </c>
      <c r="I17" s="7">
        <v>1885</v>
      </c>
      <c r="J17" s="5">
        <v>141</v>
      </c>
      <c r="K17" s="5">
        <v>2</v>
      </c>
      <c r="L17" s="12" t="s">
        <v>18</v>
      </c>
      <c r="M17" s="3" t="s">
        <v>49</v>
      </c>
      <c r="N17" s="3" t="s">
        <v>27</v>
      </c>
      <c r="O17" s="12" t="s">
        <v>29</v>
      </c>
    </row>
    <row r="18" spans="1:15" x14ac:dyDescent="0.25">
      <c r="A18" s="5">
        <v>16</v>
      </c>
      <c r="B18" s="3" t="s">
        <v>135</v>
      </c>
      <c r="C18" s="3" t="s">
        <v>66</v>
      </c>
      <c r="D18" s="3" t="s">
        <v>71</v>
      </c>
      <c r="E18" s="3" t="s">
        <v>171</v>
      </c>
      <c r="F18" s="3" t="s">
        <v>172</v>
      </c>
      <c r="G18" s="3" t="s">
        <v>173</v>
      </c>
      <c r="H18" s="3" t="s">
        <v>172</v>
      </c>
      <c r="I18" s="7">
        <v>1891</v>
      </c>
      <c r="J18" s="5">
        <v>266</v>
      </c>
      <c r="K18" s="5">
        <v>1</v>
      </c>
      <c r="L18" s="12" t="s">
        <v>18</v>
      </c>
      <c r="M18" s="3" t="s">
        <v>19</v>
      </c>
      <c r="N18" s="3" t="s">
        <v>24</v>
      </c>
      <c r="O18" s="12" t="s">
        <v>20</v>
      </c>
    </row>
    <row r="19" spans="1:15" x14ac:dyDescent="0.25">
      <c r="A19" s="5">
        <v>17</v>
      </c>
      <c r="B19" s="3" t="s">
        <v>135</v>
      </c>
      <c r="C19" s="3" t="s">
        <v>66</v>
      </c>
      <c r="D19" s="3" t="s">
        <v>71</v>
      </c>
      <c r="E19" s="3" t="s">
        <v>171</v>
      </c>
      <c r="F19" s="3" t="s">
        <v>172</v>
      </c>
      <c r="G19" s="3" t="s">
        <v>174</v>
      </c>
      <c r="H19" s="3" t="s">
        <v>172</v>
      </c>
      <c r="I19" s="7">
        <v>1892</v>
      </c>
      <c r="J19" s="5">
        <v>2381</v>
      </c>
      <c r="K19" s="5">
        <v>1</v>
      </c>
      <c r="L19" s="12" t="s">
        <v>18</v>
      </c>
      <c r="M19" s="3" t="s">
        <v>50</v>
      </c>
      <c r="N19" s="3" t="s">
        <v>24</v>
      </c>
      <c r="O19" s="12" t="s">
        <v>20</v>
      </c>
    </row>
    <row r="20" spans="1:15" x14ac:dyDescent="0.25">
      <c r="A20" s="5">
        <v>18</v>
      </c>
      <c r="B20" s="3" t="s">
        <v>135</v>
      </c>
      <c r="C20" s="3" t="s">
        <v>66</v>
      </c>
      <c r="D20" s="3" t="s">
        <v>71</v>
      </c>
      <c r="E20" s="3" t="s">
        <v>171</v>
      </c>
      <c r="F20" s="3" t="s">
        <v>172</v>
      </c>
      <c r="G20" s="3" t="s">
        <v>175</v>
      </c>
      <c r="H20" s="3" t="s">
        <v>172</v>
      </c>
      <c r="I20" s="7">
        <v>1893</v>
      </c>
      <c r="J20" s="5">
        <v>291</v>
      </c>
      <c r="K20" s="5">
        <v>3</v>
      </c>
      <c r="L20" s="12" t="s">
        <v>18</v>
      </c>
      <c r="M20" s="3" t="s">
        <v>49</v>
      </c>
      <c r="N20" s="3" t="s">
        <v>24</v>
      </c>
      <c r="O20" s="12" t="s">
        <v>29</v>
      </c>
    </row>
    <row r="21" spans="1:15" x14ac:dyDescent="0.25">
      <c r="A21" s="5">
        <v>19</v>
      </c>
      <c r="B21" s="3" t="s">
        <v>135</v>
      </c>
      <c r="C21" s="3" t="s">
        <v>66</v>
      </c>
      <c r="D21" s="3" t="s">
        <v>71</v>
      </c>
      <c r="E21" s="3" t="s">
        <v>171</v>
      </c>
      <c r="F21" s="3" t="s">
        <v>172</v>
      </c>
      <c r="G21" s="3" t="s">
        <v>176</v>
      </c>
      <c r="H21" s="3" t="s">
        <v>172</v>
      </c>
      <c r="I21" s="7">
        <v>1895</v>
      </c>
      <c r="J21" s="5">
        <v>742</v>
      </c>
      <c r="K21" s="5">
        <v>1</v>
      </c>
      <c r="L21" s="12" t="s">
        <v>18</v>
      </c>
      <c r="M21" s="3" t="s">
        <v>49</v>
      </c>
      <c r="N21" s="3" t="s">
        <v>24</v>
      </c>
      <c r="O21" s="12" t="s">
        <v>29</v>
      </c>
    </row>
    <row r="22" spans="1:15" x14ac:dyDescent="0.25">
      <c r="A22" s="5">
        <v>20</v>
      </c>
      <c r="B22" s="3" t="s">
        <v>135</v>
      </c>
      <c r="C22" s="3" t="s">
        <v>66</v>
      </c>
      <c r="D22" s="3" t="s">
        <v>71</v>
      </c>
      <c r="E22" s="3" t="s">
        <v>171</v>
      </c>
      <c r="F22" s="3" t="s">
        <v>172</v>
      </c>
      <c r="G22" s="3" t="s">
        <v>177</v>
      </c>
      <c r="H22" s="3" t="s">
        <v>172</v>
      </c>
      <c r="I22" s="7">
        <v>1896</v>
      </c>
      <c r="J22" s="5">
        <v>343</v>
      </c>
      <c r="K22" s="5">
        <v>2</v>
      </c>
      <c r="L22" s="12" t="s">
        <v>18</v>
      </c>
      <c r="M22" s="3" t="s">
        <v>19</v>
      </c>
      <c r="N22" s="3" t="s">
        <v>24</v>
      </c>
      <c r="O22" s="12" t="s">
        <v>20</v>
      </c>
    </row>
    <row r="23" spans="1:15" x14ac:dyDescent="0.25">
      <c r="A23" s="5">
        <v>21</v>
      </c>
      <c r="B23" s="3" t="s">
        <v>135</v>
      </c>
      <c r="C23" s="3" t="s">
        <v>69</v>
      </c>
      <c r="D23" s="3" t="s">
        <v>151</v>
      </c>
      <c r="E23" s="3" t="s">
        <v>152</v>
      </c>
      <c r="F23" s="3" t="s">
        <v>178</v>
      </c>
      <c r="G23" s="3" t="s">
        <v>179</v>
      </c>
      <c r="H23" s="3" t="s">
        <v>155</v>
      </c>
      <c r="I23" s="7">
        <v>1897</v>
      </c>
      <c r="J23" s="5">
        <v>188</v>
      </c>
      <c r="K23" s="5">
        <v>1</v>
      </c>
      <c r="L23" s="12" t="s">
        <v>36</v>
      </c>
      <c r="M23" s="3" t="s">
        <v>22</v>
      </c>
      <c r="N23" s="3"/>
      <c r="O23" s="12" t="s">
        <v>44</v>
      </c>
    </row>
    <row r="24" spans="1:15" x14ac:dyDescent="0.25">
      <c r="A24" s="5">
        <v>22</v>
      </c>
      <c r="B24" s="3" t="s">
        <v>135</v>
      </c>
      <c r="C24" s="3" t="s">
        <v>69</v>
      </c>
      <c r="D24" s="3" t="s">
        <v>73</v>
      </c>
      <c r="E24" s="3" t="s">
        <v>77</v>
      </c>
      <c r="F24" s="3" t="s">
        <v>78</v>
      </c>
      <c r="G24" s="3" t="s">
        <v>180</v>
      </c>
      <c r="H24" s="3" t="s">
        <v>78</v>
      </c>
      <c r="I24" s="7">
        <v>1898</v>
      </c>
      <c r="J24" s="5">
        <v>147</v>
      </c>
      <c r="K24" s="5">
        <v>2</v>
      </c>
      <c r="L24" s="12" t="s">
        <v>36</v>
      </c>
      <c r="M24" s="3" t="s">
        <v>22</v>
      </c>
      <c r="N24" s="3"/>
      <c r="O24" s="12" t="s">
        <v>44</v>
      </c>
    </row>
    <row r="25" spans="1:15" ht="30" x14ac:dyDescent="0.25">
      <c r="A25" s="5">
        <v>23</v>
      </c>
      <c r="B25" s="3" t="s">
        <v>135</v>
      </c>
      <c r="C25" s="3" t="s">
        <v>66</v>
      </c>
      <c r="D25" s="3" t="s">
        <v>136</v>
      </c>
      <c r="E25" s="3" t="s">
        <v>181</v>
      </c>
      <c r="F25" s="3" t="s">
        <v>182</v>
      </c>
      <c r="G25" s="3" t="s">
        <v>183</v>
      </c>
      <c r="H25" s="3" t="s">
        <v>184</v>
      </c>
      <c r="I25" s="7">
        <v>1910</v>
      </c>
      <c r="J25" s="5">
        <v>637</v>
      </c>
      <c r="K25" s="5">
        <v>1</v>
      </c>
      <c r="L25" s="12" t="s">
        <v>51</v>
      </c>
      <c r="M25" s="3" t="s">
        <v>15</v>
      </c>
      <c r="N25" s="3" t="s">
        <v>27</v>
      </c>
      <c r="O25" s="12" t="s">
        <v>26</v>
      </c>
    </row>
    <row r="26" spans="1:15" x14ac:dyDescent="0.25">
      <c r="A26" s="5">
        <v>24</v>
      </c>
      <c r="B26" s="3" t="s">
        <v>135</v>
      </c>
      <c r="C26" s="3" t="s">
        <v>66</v>
      </c>
      <c r="D26" s="3" t="s">
        <v>114</v>
      </c>
      <c r="E26" s="3" t="s">
        <v>83</v>
      </c>
      <c r="F26" s="3" t="s">
        <v>83</v>
      </c>
      <c r="G26" s="3" t="s">
        <v>185</v>
      </c>
      <c r="H26" s="3" t="s">
        <v>186</v>
      </c>
      <c r="I26" s="7">
        <v>1913</v>
      </c>
      <c r="J26" s="5">
        <v>378</v>
      </c>
      <c r="K26" s="5">
        <v>4</v>
      </c>
      <c r="L26" s="12" t="s">
        <v>52</v>
      </c>
      <c r="M26" s="3" t="s">
        <v>22</v>
      </c>
      <c r="N26" s="3" t="s">
        <v>32</v>
      </c>
      <c r="O26" s="12" t="s">
        <v>23</v>
      </c>
    </row>
    <row r="27" spans="1:15" x14ac:dyDescent="0.25">
      <c r="A27" s="5">
        <v>25</v>
      </c>
      <c r="B27" s="3" t="s">
        <v>135</v>
      </c>
      <c r="C27" s="3" t="s">
        <v>66</v>
      </c>
      <c r="D27" s="3" t="s">
        <v>114</v>
      </c>
      <c r="E27" s="3" t="s">
        <v>91</v>
      </c>
      <c r="F27" s="3" t="s">
        <v>187</v>
      </c>
      <c r="G27" s="3" t="s">
        <v>188</v>
      </c>
      <c r="H27" s="3" t="s">
        <v>189</v>
      </c>
      <c r="I27" s="7">
        <v>1945</v>
      </c>
      <c r="J27" s="5">
        <v>110</v>
      </c>
      <c r="K27" s="5">
        <v>2</v>
      </c>
      <c r="L27" s="12" t="s">
        <v>18</v>
      </c>
      <c r="M27" s="3" t="s">
        <v>19</v>
      </c>
      <c r="N27" s="3" t="s">
        <v>41</v>
      </c>
      <c r="O27" s="12" t="s">
        <v>20</v>
      </c>
    </row>
    <row r="28" spans="1:15" x14ac:dyDescent="0.25">
      <c r="A28" s="5">
        <v>26</v>
      </c>
      <c r="B28" s="3" t="s">
        <v>135</v>
      </c>
      <c r="C28" s="3" t="s">
        <v>66</v>
      </c>
      <c r="D28" s="3" t="s">
        <v>71</v>
      </c>
      <c r="E28" s="3" t="s">
        <v>72</v>
      </c>
      <c r="F28" s="3" t="s">
        <v>190</v>
      </c>
      <c r="G28" s="3" t="s">
        <v>191</v>
      </c>
      <c r="H28" s="3" t="s">
        <v>190</v>
      </c>
      <c r="I28" s="7">
        <v>1948</v>
      </c>
      <c r="J28" s="5">
        <v>819</v>
      </c>
      <c r="K28" s="5">
        <v>1</v>
      </c>
      <c r="L28" s="12" t="s">
        <v>18</v>
      </c>
      <c r="M28" s="3" t="s">
        <v>19</v>
      </c>
      <c r="N28" s="3" t="s">
        <v>24</v>
      </c>
      <c r="O28" s="12" t="s">
        <v>29</v>
      </c>
    </row>
    <row r="29" spans="1:15" x14ac:dyDescent="0.25">
      <c r="A29" s="5">
        <v>27</v>
      </c>
      <c r="B29" s="3" t="s">
        <v>135</v>
      </c>
      <c r="C29" s="3" t="s">
        <v>66</v>
      </c>
      <c r="D29" s="3" t="s">
        <v>71</v>
      </c>
      <c r="E29" s="3" t="s">
        <v>72</v>
      </c>
      <c r="F29" s="3" t="s">
        <v>190</v>
      </c>
      <c r="G29" s="3" t="s">
        <v>192</v>
      </c>
      <c r="H29" s="3" t="s">
        <v>190</v>
      </c>
      <c r="I29" s="7">
        <v>1951</v>
      </c>
      <c r="J29" s="5">
        <v>387</v>
      </c>
      <c r="K29" s="5">
        <v>4</v>
      </c>
      <c r="L29" s="12" t="s">
        <v>18</v>
      </c>
      <c r="M29" s="3" t="s">
        <v>19</v>
      </c>
      <c r="N29" s="3" t="s">
        <v>24</v>
      </c>
      <c r="O29" s="12" t="s">
        <v>29</v>
      </c>
    </row>
    <row r="30" spans="1:15" x14ac:dyDescent="0.25">
      <c r="A30" s="5">
        <v>28</v>
      </c>
      <c r="B30" s="3" t="s">
        <v>135</v>
      </c>
      <c r="C30" s="3" t="s">
        <v>66</v>
      </c>
      <c r="D30" s="3" t="s">
        <v>71</v>
      </c>
      <c r="E30" s="3" t="s">
        <v>81</v>
      </c>
      <c r="F30" s="3" t="s">
        <v>82</v>
      </c>
      <c r="G30" s="3" t="s">
        <v>193</v>
      </c>
      <c r="H30" s="3" t="s">
        <v>82</v>
      </c>
      <c r="I30" s="7">
        <v>1970</v>
      </c>
      <c r="J30" s="5">
        <v>452</v>
      </c>
      <c r="K30" s="5">
        <v>1</v>
      </c>
      <c r="L30" s="12" t="s">
        <v>21</v>
      </c>
      <c r="M30" s="3" t="s">
        <v>22</v>
      </c>
      <c r="N30" s="3" t="s">
        <v>24</v>
      </c>
      <c r="O30" s="12" t="s">
        <v>23</v>
      </c>
    </row>
    <row r="31" spans="1:15" x14ac:dyDescent="0.25">
      <c r="A31" s="5">
        <v>29</v>
      </c>
      <c r="B31" s="3" t="s">
        <v>135</v>
      </c>
      <c r="C31" s="3" t="s">
        <v>66</v>
      </c>
      <c r="D31" s="3" t="s">
        <v>71</v>
      </c>
      <c r="E31" s="3" t="s">
        <v>81</v>
      </c>
      <c r="F31" s="3" t="s">
        <v>82</v>
      </c>
      <c r="G31" s="3" t="s">
        <v>194</v>
      </c>
      <c r="H31" s="3" t="s">
        <v>82</v>
      </c>
      <c r="I31" s="7">
        <v>1971</v>
      </c>
      <c r="J31" s="5">
        <v>308</v>
      </c>
      <c r="K31" s="5">
        <v>4</v>
      </c>
      <c r="L31" s="12" t="s">
        <v>21</v>
      </c>
      <c r="M31" s="3" t="s">
        <v>22</v>
      </c>
      <c r="N31" s="3" t="s">
        <v>24</v>
      </c>
      <c r="O31" s="12" t="s">
        <v>23</v>
      </c>
    </row>
    <row r="32" spans="1:15" x14ac:dyDescent="0.25">
      <c r="A32" s="5">
        <v>30</v>
      </c>
      <c r="B32" s="3" t="s">
        <v>135</v>
      </c>
      <c r="C32" s="3" t="s">
        <v>66</v>
      </c>
      <c r="D32" s="3" t="s">
        <v>68</v>
      </c>
      <c r="E32" s="3" t="s">
        <v>195</v>
      </c>
      <c r="F32" s="3" t="s">
        <v>196</v>
      </c>
      <c r="G32" s="3" t="s">
        <v>197</v>
      </c>
      <c r="H32" s="3" t="s">
        <v>196</v>
      </c>
      <c r="I32" s="7">
        <v>1973</v>
      </c>
      <c r="J32" s="5">
        <v>188</v>
      </c>
      <c r="K32" s="5">
        <v>1</v>
      </c>
      <c r="L32" s="12" t="s">
        <v>18</v>
      </c>
      <c r="M32" s="3" t="s">
        <v>19</v>
      </c>
      <c r="N32" s="3" t="s">
        <v>16</v>
      </c>
      <c r="O32" s="12" t="s">
        <v>29</v>
      </c>
    </row>
    <row r="33" spans="1:15" x14ac:dyDescent="0.25">
      <c r="A33" s="5">
        <v>31</v>
      </c>
      <c r="B33" s="3" t="s">
        <v>135</v>
      </c>
      <c r="C33" s="3" t="s">
        <v>66</v>
      </c>
      <c r="D33" s="3" t="s">
        <v>136</v>
      </c>
      <c r="E33" s="3" t="s">
        <v>108</v>
      </c>
      <c r="F33" s="3" t="s">
        <v>198</v>
      </c>
      <c r="G33" s="3" t="s">
        <v>199</v>
      </c>
      <c r="H33" s="3" t="s">
        <v>200</v>
      </c>
      <c r="I33" s="7">
        <v>1977</v>
      </c>
      <c r="J33" s="5">
        <v>808</v>
      </c>
      <c r="K33" s="5">
        <v>3</v>
      </c>
      <c r="L33" s="12" t="s">
        <v>53</v>
      </c>
      <c r="M33" s="3" t="s">
        <v>50</v>
      </c>
      <c r="N33" s="3" t="s">
        <v>27</v>
      </c>
      <c r="O33" s="12" t="s">
        <v>20</v>
      </c>
    </row>
    <row r="34" spans="1:15" x14ac:dyDescent="0.25">
      <c r="A34" s="5">
        <v>32</v>
      </c>
      <c r="B34" s="3" t="s">
        <v>135</v>
      </c>
      <c r="C34" s="3" t="s">
        <v>66</v>
      </c>
      <c r="D34" s="3" t="s">
        <v>68</v>
      </c>
      <c r="E34" s="3" t="s">
        <v>168</v>
      </c>
      <c r="F34" s="3" t="s">
        <v>106</v>
      </c>
      <c r="G34" s="3" t="s">
        <v>201</v>
      </c>
      <c r="H34" s="3" t="s">
        <v>202</v>
      </c>
      <c r="I34" s="7">
        <v>1997</v>
      </c>
      <c r="J34" s="5">
        <v>201</v>
      </c>
      <c r="K34" s="5">
        <v>1</v>
      </c>
      <c r="L34" s="12" t="s">
        <v>54</v>
      </c>
      <c r="M34" s="3" t="s">
        <v>50</v>
      </c>
      <c r="N34" s="3" t="s">
        <v>16</v>
      </c>
      <c r="O34" s="12" t="s">
        <v>20</v>
      </c>
    </row>
    <row r="35" spans="1:15" x14ac:dyDescent="0.25">
      <c r="A35" s="5">
        <v>33</v>
      </c>
      <c r="B35" s="3" t="s">
        <v>135</v>
      </c>
      <c r="C35" s="3" t="s">
        <v>66</v>
      </c>
      <c r="D35" s="3" t="s">
        <v>136</v>
      </c>
      <c r="E35" s="3" t="s">
        <v>76</v>
      </c>
      <c r="F35" s="3" t="s">
        <v>203</v>
      </c>
      <c r="G35" s="3" t="s">
        <v>204</v>
      </c>
      <c r="H35" s="3" t="s">
        <v>205</v>
      </c>
      <c r="I35" s="7">
        <v>2010</v>
      </c>
      <c r="J35" s="5">
        <v>556</v>
      </c>
      <c r="K35" s="5">
        <v>1</v>
      </c>
      <c r="L35" s="12" t="s">
        <v>21</v>
      </c>
      <c r="M35" s="3" t="s">
        <v>50</v>
      </c>
      <c r="N35" s="3" t="s">
        <v>33</v>
      </c>
      <c r="O35" s="12" t="s">
        <v>20</v>
      </c>
    </row>
    <row r="36" spans="1:15" x14ac:dyDescent="0.25">
      <c r="A36" s="5">
        <v>34</v>
      </c>
      <c r="B36" s="3" t="s">
        <v>135</v>
      </c>
      <c r="C36" s="3" t="s">
        <v>69</v>
      </c>
      <c r="D36" s="3" t="s">
        <v>151</v>
      </c>
      <c r="E36" s="3" t="s">
        <v>206</v>
      </c>
      <c r="F36" s="3" t="s">
        <v>207</v>
      </c>
      <c r="G36" s="3" t="s">
        <v>208</v>
      </c>
      <c r="H36" s="3" t="s">
        <v>209</v>
      </c>
      <c r="I36" s="7">
        <v>2018</v>
      </c>
      <c r="J36" s="5">
        <v>315</v>
      </c>
      <c r="K36" s="5">
        <v>8</v>
      </c>
      <c r="L36" s="12" t="s">
        <v>36</v>
      </c>
      <c r="M36" s="3" t="s">
        <v>22</v>
      </c>
      <c r="N36" s="3"/>
      <c r="O36" s="12" t="s">
        <v>44</v>
      </c>
    </row>
    <row r="37" spans="1:15" x14ac:dyDescent="0.25">
      <c r="A37" s="5">
        <v>35</v>
      </c>
      <c r="B37" s="3" t="s">
        <v>135</v>
      </c>
      <c r="C37" s="3" t="s">
        <v>69</v>
      </c>
      <c r="D37" s="3" t="s">
        <v>151</v>
      </c>
      <c r="E37" s="3" t="s">
        <v>206</v>
      </c>
      <c r="F37" s="3" t="s">
        <v>207</v>
      </c>
      <c r="G37" s="3" t="s">
        <v>210</v>
      </c>
      <c r="H37" s="3" t="s">
        <v>128</v>
      </c>
      <c r="I37" s="7">
        <v>2019</v>
      </c>
      <c r="J37" s="5">
        <v>402</v>
      </c>
      <c r="K37" s="5">
        <v>2</v>
      </c>
      <c r="L37" s="12" t="s">
        <v>36</v>
      </c>
      <c r="M37" s="3" t="s">
        <v>22</v>
      </c>
      <c r="N37" s="3"/>
      <c r="O37" s="12" t="s">
        <v>44</v>
      </c>
    </row>
    <row r="38" spans="1:15" x14ac:dyDescent="0.25">
      <c r="A38" s="5">
        <v>36</v>
      </c>
      <c r="B38" s="3" t="s">
        <v>135</v>
      </c>
      <c r="C38" s="3" t="s">
        <v>69</v>
      </c>
      <c r="D38" s="3" t="s">
        <v>151</v>
      </c>
      <c r="E38" s="3" t="s">
        <v>206</v>
      </c>
      <c r="F38" s="3" t="s">
        <v>207</v>
      </c>
      <c r="G38" s="3" t="s">
        <v>211</v>
      </c>
      <c r="H38" s="3" t="s">
        <v>212</v>
      </c>
      <c r="I38" s="7">
        <v>2020</v>
      </c>
      <c r="J38" s="5">
        <v>411</v>
      </c>
      <c r="K38" s="5" t="s">
        <v>67</v>
      </c>
      <c r="L38" s="12" t="s">
        <v>36</v>
      </c>
      <c r="M38" s="3" t="s">
        <v>22</v>
      </c>
      <c r="N38" s="3"/>
      <c r="O38" s="12" t="s">
        <v>44</v>
      </c>
    </row>
    <row r="39" spans="1:15" x14ac:dyDescent="0.25">
      <c r="A39" s="5">
        <v>37</v>
      </c>
      <c r="B39" s="3" t="s">
        <v>135</v>
      </c>
      <c r="C39" s="3" t="s">
        <v>98</v>
      </c>
      <c r="D39" s="3" t="s">
        <v>99</v>
      </c>
      <c r="E39" s="3" t="s">
        <v>213</v>
      </c>
      <c r="F39" s="3" t="s">
        <v>214</v>
      </c>
      <c r="G39" s="3" t="s">
        <v>215</v>
      </c>
      <c r="H39" s="3" t="s">
        <v>214</v>
      </c>
      <c r="I39" s="7">
        <v>2022</v>
      </c>
      <c r="J39" s="5">
        <v>317</v>
      </c>
      <c r="K39" s="5">
        <v>1</v>
      </c>
      <c r="L39" s="12" t="s">
        <v>18</v>
      </c>
      <c r="M39" s="3" t="s">
        <v>19</v>
      </c>
      <c r="N39" s="3" t="s">
        <v>37</v>
      </c>
      <c r="O39" s="12" t="s">
        <v>29</v>
      </c>
    </row>
    <row r="40" spans="1:15" x14ac:dyDescent="0.25">
      <c r="A40" s="5">
        <v>38</v>
      </c>
      <c r="B40" s="3" t="s">
        <v>135</v>
      </c>
      <c r="C40" s="3" t="s">
        <v>69</v>
      </c>
      <c r="D40" s="3" t="s">
        <v>151</v>
      </c>
      <c r="E40" s="3" t="s">
        <v>86</v>
      </c>
      <c r="F40" s="3" t="s">
        <v>87</v>
      </c>
      <c r="G40" s="3" t="s">
        <v>216</v>
      </c>
      <c r="H40" s="3" t="s">
        <v>217</v>
      </c>
      <c r="I40" s="7">
        <v>2036</v>
      </c>
      <c r="J40" s="5">
        <v>643</v>
      </c>
      <c r="K40" s="5">
        <v>1</v>
      </c>
      <c r="L40" s="12" t="s">
        <v>21</v>
      </c>
      <c r="M40" s="3" t="s">
        <v>22</v>
      </c>
      <c r="N40" s="3"/>
      <c r="O40" s="12" t="s">
        <v>23</v>
      </c>
    </row>
    <row r="41" spans="1:15" x14ac:dyDescent="0.25">
      <c r="A41" s="5">
        <v>39</v>
      </c>
      <c r="B41" s="3" t="s">
        <v>135</v>
      </c>
      <c r="C41" s="3" t="s">
        <v>69</v>
      </c>
      <c r="D41" s="3" t="s">
        <v>151</v>
      </c>
      <c r="E41" s="3" t="s">
        <v>86</v>
      </c>
      <c r="F41" s="3" t="s">
        <v>87</v>
      </c>
      <c r="G41" s="3" t="s">
        <v>218</v>
      </c>
      <c r="H41" s="3" t="s">
        <v>87</v>
      </c>
      <c r="I41" s="7">
        <v>2037</v>
      </c>
      <c r="J41" s="5">
        <v>389</v>
      </c>
      <c r="K41" s="5">
        <v>1</v>
      </c>
      <c r="L41" s="12" t="s">
        <v>21</v>
      </c>
      <c r="M41" s="3" t="s">
        <v>22</v>
      </c>
      <c r="N41" s="3"/>
      <c r="O41" s="12" t="s">
        <v>23</v>
      </c>
    </row>
    <row r="42" spans="1:15" x14ac:dyDescent="0.25">
      <c r="A42" s="5">
        <v>40</v>
      </c>
      <c r="B42" s="3" t="s">
        <v>135</v>
      </c>
      <c r="C42" s="3" t="s">
        <v>69</v>
      </c>
      <c r="D42" s="3" t="s">
        <v>73</v>
      </c>
      <c r="E42" s="3" t="s">
        <v>125</v>
      </c>
      <c r="F42" s="3" t="s">
        <v>125</v>
      </c>
      <c r="G42" s="3" t="s">
        <v>219</v>
      </c>
      <c r="H42" s="3" t="s">
        <v>125</v>
      </c>
      <c r="I42" s="7">
        <v>2038</v>
      </c>
      <c r="J42" s="5">
        <v>612</v>
      </c>
      <c r="K42" s="5">
        <v>2</v>
      </c>
      <c r="L42" s="12" t="s">
        <v>36</v>
      </c>
      <c r="M42" s="3" t="s">
        <v>22</v>
      </c>
      <c r="N42" s="3"/>
      <c r="O42" s="12" t="s">
        <v>44</v>
      </c>
    </row>
    <row r="43" spans="1:15" x14ac:dyDescent="0.25">
      <c r="A43" s="5">
        <v>41</v>
      </c>
      <c r="B43" s="3" t="s">
        <v>135</v>
      </c>
      <c r="C43" s="3" t="s">
        <v>69</v>
      </c>
      <c r="D43" s="3" t="s">
        <v>73</v>
      </c>
      <c r="E43" s="3" t="s">
        <v>125</v>
      </c>
      <c r="F43" s="3" t="s">
        <v>125</v>
      </c>
      <c r="G43" s="3" t="s">
        <v>220</v>
      </c>
      <c r="H43" s="3" t="s">
        <v>212</v>
      </c>
      <c r="I43" s="7">
        <v>2040</v>
      </c>
      <c r="J43" s="5">
        <v>161</v>
      </c>
      <c r="K43" s="5">
        <v>1</v>
      </c>
      <c r="L43" s="12" t="s">
        <v>18</v>
      </c>
      <c r="M43" s="3" t="s">
        <v>19</v>
      </c>
      <c r="N43" s="3"/>
      <c r="O43" s="12" t="s">
        <v>29</v>
      </c>
    </row>
    <row r="44" spans="1:15" x14ac:dyDescent="0.25">
      <c r="A44" s="5">
        <v>42</v>
      </c>
      <c r="B44" s="3" t="s">
        <v>135</v>
      </c>
      <c r="C44" s="3" t="s">
        <v>221</v>
      </c>
      <c r="D44" s="3" t="s">
        <v>222</v>
      </c>
      <c r="E44" s="3" t="s">
        <v>223</v>
      </c>
      <c r="F44" s="3" t="s">
        <v>224</v>
      </c>
      <c r="G44" s="3" t="s">
        <v>225</v>
      </c>
      <c r="H44" s="3" t="s">
        <v>224</v>
      </c>
      <c r="I44" s="7">
        <v>2042</v>
      </c>
      <c r="J44" s="5">
        <v>1109</v>
      </c>
      <c r="K44" s="5">
        <v>3</v>
      </c>
      <c r="L44" s="12" t="s">
        <v>55</v>
      </c>
      <c r="M44" s="3" t="s">
        <v>28</v>
      </c>
      <c r="N44" s="3" t="s">
        <v>56</v>
      </c>
      <c r="O44" s="12" t="s">
        <v>29</v>
      </c>
    </row>
    <row r="45" spans="1:15" x14ac:dyDescent="0.25">
      <c r="A45" s="5">
        <v>43</v>
      </c>
      <c r="B45" s="3" t="s">
        <v>135</v>
      </c>
      <c r="C45" s="3" t="s">
        <v>69</v>
      </c>
      <c r="D45" s="3" t="s">
        <v>73</v>
      </c>
      <c r="E45" s="3" t="s">
        <v>97</v>
      </c>
      <c r="F45" s="3" t="s">
        <v>226</v>
      </c>
      <c r="G45" s="3" t="s">
        <v>227</v>
      </c>
      <c r="H45" s="3" t="s">
        <v>226</v>
      </c>
      <c r="I45" s="7">
        <v>2043</v>
      </c>
      <c r="J45" s="5">
        <v>329</v>
      </c>
      <c r="K45" s="5">
        <v>1</v>
      </c>
      <c r="L45" s="12" t="s">
        <v>18</v>
      </c>
      <c r="M45" s="3" t="s">
        <v>19</v>
      </c>
      <c r="N45" s="3"/>
      <c r="O45" s="12" t="s">
        <v>29</v>
      </c>
    </row>
    <row r="46" spans="1:15" x14ac:dyDescent="0.25">
      <c r="A46" s="5">
        <v>44</v>
      </c>
      <c r="B46" s="3" t="s">
        <v>135</v>
      </c>
      <c r="C46" s="3" t="s">
        <v>69</v>
      </c>
      <c r="D46" s="3" t="s">
        <v>73</v>
      </c>
      <c r="E46" s="3" t="s">
        <v>97</v>
      </c>
      <c r="F46" s="3" t="s">
        <v>226</v>
      </c>
      <c r="G46" s="3" t="s">
        <v>228</v>
      </c>
      <c r="H46" s="3" t="s">
        <v>226</v>
      </c>
      <c r="I46" s="7">
        <v>2045</v>
      </c>
      <c r="J46" s="5">
        <v>404</v>
      </c>
      <c r="K46" s="5">
        <v>3</v>
      </c>
      <c r="L46" s="12" t="s">
        <v>21</v>
      </c>
      <c r="M46" s="3" t="s">
        <v>22</v>
      </c>
      <c r="N46" s="3"/>
      <c r="O46" s="12" t="s">
        <v>23</v>
      </c>
    </row>
    <row r="47" spans="1:15" x14ac:dyDescent="0.25">
      <c r="A47" s="5">
        <v>45</v>
      </c>
      <c r="B47" s="3" t="s">
        <v>135</v>
      </c>
      <c r="C47" s="3" t="s">
        <v>69</v>
      </c>
      <c r="D47" s="3" t="s">
        <v>151</v>
      </c>
      <c r="E47" s="3" t="s">
        <v>152</v>
      </c>
      <c r="F47" s="3" t="s">
        <v>229</v>
      </c>
      <c r="G47" s="3" t="s">
        <v>230</v>
      </c>
      <c r="H47" s="3" t="s">
        <v>155</v>
      </c>
      <c r="I47" s="7">
        <v>2048</v>
      </c>
      <c r="J47" s="5">
        <v>70</v>
      </c>
      <c r="K47" s="5">
        <v>2</v>
      </c>
      <c r="L47" s="12" t="s">
        <v>36</v>
      </c>
      <c r="M47" s="3" t="s">
        <v>22</v>
      </c>
      <c r="N47" s="3"/>
      <c r="O47" s="12" t="s">
        <v>44</v>
      </c>
    </row>
    <row r="48" spans="1:15" x14ac:dyDescent="0.25">
      <c r="A48" s="5">
        <v>46</v>
      </c>
      <c r="B48" s="3" t="s">
        <v>135</v>
      </c>
      <c r="C48" s="3" t="s">
        <v>69</v>
      </c>
      <c r="D48" s="3" t="s">
        <v>151</v>
      </c>
      <c r="E48" s="3" t="s">
        <v>206</v>
      </c>
      <c r="F48" s="3" t="s">
        <v>231</v>
      </c>
      <c r="G48" s="3" t="s">
        <v>232</v>
      </c>
      <c r="H48" s="3" t="s">
        <v>128</v>
      </c>
      <c r="I48" s="7">
        <v>2049</v>
      </c>
      <c r="J48" s="5">
        <v>84</v>
      </c>
      <c r="K48" s="5">
        <v>1</v>
      </c>
      <c r="L48" s="12" t="s">
        <v>36</v>
      </c>
      <c r="M48" s="3" t="s">
        <v>22</v>
      </c>
      <c r="N48" s="3"/>
      <c r="O48" s="12" t="s">
        <v>44</v>
      </c>
    </row>
    <row r="49" spans="1:15" x14ac:dyDescent="0.25">
      <c r="A49" s="5">
        <v>47</v>
      </c>
      <c r="B49" s="3" t="s">
        <v>135</v>
      </c>
      <c r="C49" s="3" t="s">
        <v>69</v>
      </c>
      <c r="D49" s="3" t="s">
        <v>151</v>
      </c>
      <c r="E49" s="3" t="s">
        <v>206</v>
      </c>
      <c r="F49" s="3" t="s">
        <v>233</v>
      </c>
      <c r="G49" s="3" t="s">
        <v>234</v>
      </c>
      <c r="H49" s="3" t="s">
        <v>128</v>
      </c>
      <c r="I49" s="7">
        <v>2050</v>
      </c>
      <c r="J49" s="5">
        <v>987</v>
      </c>
      <c r="K49" s="5">
        <v>1</v>
      </c>
      <c r="L49" s="12" t="s">
        <v>36</v>
      </c>
      <c r="M49" s="3" t="s">
        <v>22</v>
      </c>
      <c r="N49" s="3"/>
      <c r="O49" s="12" t="s">
        <v>44</v>
      </c>
    </row>
    <row r="50" spans="1:15" x14ac:dyDescent="0.25">
      <c r="A50" s="5">
        <v>48</v>
      </c>
      <c r="B50" s="3" t="s">
        <v>135</v>
      </c>
      <c r="C50" s="3" t="s">
        <v>66</v>
      </c>
      <c r="D50" s="3" t="s">
        <v>68</v>
      </c>
      <c r="E50" s="3" t="s">
        <v>115</v>
      </c>
      <c r="F50" s="3" t="s">
        <v>235</v>
      </c>
      <c r="G50" s="3" t="s">
        <v>236</v>
      </c>
      <c r="H50" s="3" t="s">
        <v>237</v>
      </c>
      <c r="I50" s="7">
        <v>2063</v>
      </c>
      <c r="J50" s="5">
        <v>2337</v>
      </c>
      <c r="K50" s="5">
        <v>2</v>
      </c>
      <c r="L50" s="12" t="s">
        <v>18</v>
      </c>
      <c r="M50" s="3" t="s">
        <v>19</v>
      </c>
      <c r="N50" s="3" t="s">
        <v>30</v>
      </c>
      <c r="O50" s="12" t="s">
        <v>29</v>
      </c>
    </row>
    <row r="51" spans="1:15" x14ac:dyDescent="0.25">
      <c r="A51" s="5">
        <v>49</v>
      </c>
      <c r="B51" s="3" t="s">
        <v>135</v>
      </c>
      <c r="C51" s="3" t="s">
        <v>69</v>
      </c>
      <c r="D51" s="3" t="s">
        <v>151</v>
      </c>
      <c r="E51" s="3" t="s">
        <v>86</v>
      </c>
      <c r="F51" s="3" t="s">
        <v>238</v>
      </c>
      <c r="G51" s="3" t="s">
        <v>239</v>
      </c>
      <c r="H51" s="3" t="s">
        <v>212</v>
      </c>
      <c r="I51" s="7">
        <v>2065</v>
      </c>
      <c r="J51" s="5">
        <v>485</v>
      </c>
      <c r="K51" s="5">
        <v>1</v>
      </c>
      <c r="L51" s="12" t="s">
        <v>36</v>
      </c>
      <c r="M51" s="3" t="s">
        <v>22</v>
      </c>
      <c r="N51" s="3"/>
      <c r="O51" s="12" t="s">
        <v>44</v>
      </c>
    </row>
    <row r="52" spans="1:15" x14ac:dyDescent="0.25">
      <c r="A52" s="5">
        <v>50</v>
      </c>
      <c r="B52" s="3" t="s">
        <v>135</v>
      </c>
      <c r="C52" s="3" t="s">
        <v>69</v>
      </c>
      <c r="D52" s="3" t="s">
        <v>73</v>
      </c>
      <c r="E52" s="3" t="s">
        <v>77</v>
      </c>
      <c r="F52" s="3" t="s">
        <v>90</v>
      </c>
      <c r="G52" s="3" t="s">
        <v>240</v>
      </c>
      <c r="H52" s="3" t="s">
        <v>241</v>
      </c>
      <c r="I52" s="7">
        <v>2067</v>
      </c>
      <c r="J52" s="5">
        <v>166</v>
      </c>
      <c r="K52" s="5">
        <v>1</v>
      </c>
      <c r="L52" s="12" t="s">
        <v>18</v>
      </c>
      <c r="M52" s="3" t="s">
        <v>19</v>
      </c>
      <c r="N52" s="3"/>
      <c r="O52" s="12" t="s">
        <v>29</v>
      </c>
    </row>
    <row r="53" spans="1:15" x14ac:dyDescent="0.25">
      <c r="A53" s="5">
        <v>51</v>
      </c>
      <c r="B53" s="3" t="s">
        <v>135</v>
      </c>
      <c r="C53" s="3" t="s">
        <v>69</v>
      </c>
      <c r="D53" s="3" t="s">
        <v>151</v>
      </c>
      <c r="E53" s="3" t="s">
        <v>152</v>
      </c>
      <c r="F53" s="3" t="s">
        <v>242</v>
      </c>
      <c r="G53" s="3" t="s">
        <v>243</v>
      </c>
      <c r="H53" s="3" t="s">
        <v>244</v>
      </c>
      <c r="I53" s="7">
        <v>2079</v>
      </c>
      <c r="J53" s="5">
        <v>241</v>
      </c>
      <c r="K53" s="5">
        <v>1</v>
      </c>
      <c r="L53" s="12" t="s">
        <v>36</v>
      </c>
      <c r="M53" s="3" t="s">
        <v>22</v>
      </c>
      <c r="N53" s="3"/>
      <c r="O53" s="12" t="s">
        <v>44</v>
      </c>
    </row>
    <row r="54" spans="1:15" x14ac:dyDescent="0.25">
      <c r="A54" s="5">
        <v>52</v>
      </c>
      <c r="B54" s="3" t="s">
        <v>135</v>
      </c>
      <c r="C54" s="3" t="s">
        <v>66</v>
      </c>
      <c r="D54" s="3" t="s">
        <v>68</v>
      </c>
      <c r="E54" s="3" t="s">
        <v>115</v>
      </c>
      <c r="F54" s="3" t="s">
        <v>245</v>
      </c>
      <c r="G54" s="3" t="s">
        <v>246</v>
      </c>
      <c r="H54" s="3" t="s">
        <v>245</v>
      </c>
      <c r="I54" s="7">
        <v>2081</v>
      </c>
      <c r="J54" s="5">
        <v>197</v>
      </c>
      <c r="K54" s="5">
        <v>1</v>
      </c>
      <c r="L54" s="12" t="s">
        <v>18</v>
      </c>
      <c r="M54" s="3" t="s">
        <v>19</v>
      </c>
      <c r="N54" s="3" t="s">
        <v>57</v>
      </c>
      <c r="O54" s="12" t="s">
        <v>29</v>
      </c>
    </row>
    <row r="55" spans="1:15" x14ac:dyDescent="0.25">
      <c r="A55" s="5">
        <v>53</v>
      </c>
      <c r="B55" s="3" t="s">
        <v>135</v>
      </c>
      <c r="C55" s="3" t="s">
        <v>66</v>
      </c>
      <c r="D55" s="3" t="s">
        <v>68</v>
      </c>
      <c r="E55" s="3" t="s">
        <v>115</v>
      </c>
      <c r="F55" s="3" t="s">
        <v>247</v>
      </c>
      <c r="G55" s="3" t="s">
        <v>248</v>
      </c>
      <c r="H55" s="3" t="s">
        <v>249</v>
      </c>
      <c r="I55" s="7">
        <v>2089</v>
      </c>
      <c r="J55" s="5">
        <v>301</v>
      </c>
      <c r="K55" s="5">
        <v>2</v>
      </c>
      <c r="L55" s="12" t="s">
        <v>18</v>
      </c>
      <c r="M55" s="3" t="s">
        <v>19</v>
      </c>
      <c r="N55" s="3" t="s">
        <v>57</v>
      </c>
      <c r="O55" s="12" t="s">
        <v>29</v>
      </c>
    </row>
    <row r="56" spans="1:15" x14ac:dyDescent="0.25">
      <c r="A56" s="5">
        <v>54</v>
      </c>
      <c r="B56" s="3" t="s">
        <v>135</v>
      </c>
      <c r="C56" s="3" t="s">
        <v>66</v>
      </c>
      <c r="D56" s="3" t="s">
        <v>68</v>
      </c>
      <c r="E56" s="3" t="s">
        <v>115</v>
      </c>
      <c r="F56" s="3" t="s">
        <v>247</v>
      </c>
      <c r="G56" s="3" t="s">
        <v>250</v>
      </c>
      <c r="H56" s="3" t="s">
        <v>249</v>
      </c>
      <c r="I56" s="7">
        <v>2090</v>
      </c>
      <c r="J56" s="5">
        <v>542</v>
      </c>
      <c r="K56" s="5">
        <v>1</v>
      </c>
      <c r="L56" s="12" t="s">
        <v>18</v>
      </c>
      <c r="M56" s="3" t="s">
        <v>19</v>
      </c>
      <c r="N56" s="3" t="s">
        <v>57</v>
      </c>
      <c r="O56" s="12" t="s">
        <v>29</v>
      </c>
    </row>
    <row r="57" spans="1:15" x14ac:dyDescent="0.25">
      <c r="A57" s="5">
        <v>55</v>
      </c>
      <c r="B57" s="3" t="s">
        <v>135</v>
      </c>
      <c r="C57" s="3" t="s">
        <v>69</v>
      </c>
      <c r="D57" s="3" t="s">
        <v>73</v>
      </c>
      <c r="E57" s="3" t="s">
        <v>122</v>
      </c>
      <c r="F57" s="3" t="s">
        <v>251</v>
      </c>
      <c r="G57" s="3" t="s">
        <v>252</v>
      </c>
      <c r="H57" s="3">
        <v>0</v>
      </c>
      <c r="I57" s="7">
        <v>2096</v>
      </c>
      <c r="J57" s="5">
        <v>257</v>
      </c>
      <c r="K57" s="5">
        <v>1</v>
      </c>
      <c r="L57" s="12" t="s">
        <v>18</v>
      </c>
      <c r="M57" s="3" t="s">
        <v>19</v>
      </c>
      <c r="N57" s="3"/>
      <c r="O57" s="12" t="s">
        <v>29</v>
      </c>
    </row>
    <row r="58" spans="1:15" x14ac:dyDescent="0.25">
      <c r="A58" s="5">
        <v>56</v>
      </c>
      <c r="B58" s="3" t="s">
        <v>135</v>
      </c>
      <c r="C58" s="3" t="s">
        <v>69</v>
      </c>
      <c r="D58" s="3" t="s">
        <v>70</v>
      </c>
      <c r="E58" s="3" t="s">
        <v>92</v>
      </c>
      <c r="F58" s="3" t="s">
        <v>93</v>
      </c>
      <c r="G58" s="3" t="s">
        <v>253</v>
      </c>
      <c r="H58" s="3" t="s">
        <v>254</v>
      </c>
      <c r="I58" s="7">
        <v>2103</v>
      </c>
      <c r="J58" s="5">
        <v>396</v>
      </c>
      <c r="K58" s="5">
        <v>1</v>
      </c>
      <c r="L58" s="12" t="s">
        <v>21</v>
      </c>
      <c r="M58" s="3" t="s">
        <v>22</v>
      </c>
      <c r="N58" s="3"/>
      <c r="O58" s="12" t="s">
        <v>23</v>
      </c>
    </row>
    <row r="59" spans="1:15" x14ac:dyDescent="0.25">
      <c r="A59" s="5">
        <v>57</v>
      </c>
      <c r="B59" s="3" t="s">
        <v>135</v>
      </c>
      <c r="C59" s="3" t="s">
        <v>69</v>
      </c>
      <c r="D59" s="3" t="s">
        <v>73</v>
      </c>
      <c r="E59" s="3" t="s">
        <v>119</v>
      </c>
      <c r="F59" s="3" t="s">
        <v>255</v>
      </c>
      <c r="G59" s="3" t="s">
        <v>256</v>
      </c>
      <c r="H59" s="3">
        <v>0</v>
      </c>
      <c r="I59" s="7">
        <v>2105</v>
      </c>
      <c r="J59" s="5">
        <v>195</v>
      </c>
      <c r="K59" s="5">
        <v>3</v>
      </c>
      <c r="L59" s="12" t="s">
        <v>36</v>
      </c>
      <c r="M59" s="3" t="s">
        <v>22</v>
      </c>
      <c r="N59" s="3"/>
      <c r="O59" s="12" t="s">
        <v>44</v>
      </c>
    </row>
    <row r="60" spans="1:15" x14ac:dyDescent="0.25">
      <c r="A60" s="5">
        <v>58</v>
      </c>
      <c r="B60" s="3" t="s">
        <v>135</v>
      </c>
      <c r="C60" s="3" t="s">
        <v>69</v>
      </c>
      <c r="D60" s="3" t="s">
        <v>73</v>
      </c>
      <c r="E60" s="3" t="s">
        <v>119</v>
      </c>
      <c r="F60" s="3" t="s">
        <v>257</v>
      </c>
      <c r="G60" s="3" t="s">
        <v>258</v>
      </c>
      <c r="H60" s="3" t="s">
        <v>259</v>
      </c>
      <c r="I60" s="7">
        <v>2112</v>
      </c>
      <c r="J60" s="5">
        <v>216</v>
      </c>
      <c r="K60" s="5">
        <v>7</v>
      </c>
      <c r="L60" s="12" t="s">
        <v>34</v>
      </c>
      <c r="M60" s="3" t="s">
        <v>28</v>
      </c>
      <c r="N60" s="3"/>
      <c r="O60" s="12" t="s">
        <v>35</v>
      </c>
    </row>
    <row r="61" spans="1:15" ht="30" x14ac:dyDescent="0.25">
      <c r="A61" s="5">
        <v>59</v>
      </c>
      <c r="B61" s="3" t="s">
        <v>135</v>
      </c>
      <c r="C61" s="3" t="s">
        <v>66</v>
      </c>
      <c r="D61" s="3" t="s">
        <v>136</v>
      </c>
      <c r="E61" s="3" t="s">
        <v>108</v>
      </c>
      <c r="F61" s="3" t="s">
        <v>260</v>
      </c>
      <c r="G61" s="3" t="s">
        <v>261</v>
      </c>
      <c r="H61" s="3" t="s">
        <v>262</v>
      </c>
      <c r="I61" s="7">
        <v>2114</v>
      </c>
      <c r="J61" s="5">
        <v>724</v>
      </c>
      <c r="K61" s="5">
        <v>1</v>
      </c>
      <c r="L61" s="12" t="s">
        <v>58</v>
      </c>
      <c r="M61" s="3" t="s">
        <v>15</v>
      </c>
      <c r="N61" s="3" t="s">
        <v>42</v>
      </c>
      <c r="O61" s="12" t="s">
        <v>411</v>
      </c>
    </row>
    <row r="62" spans="1:15" x14ac:dyDescent="0.25">
      <c r="A62" s="5">
        <v>60</v>
      </c>
      <c r="B62" s="3" t="s">
        <v>135</v>
      </c>
      <c r="C62" s="3" t="s">
        <v>69</v>
      </c>
      <c r="D62" s="3" t="s">
        <v>73</v>
      </c>
      <c r="E62" s="3" t="s">
        <v>131</v>
      </c>
      <c r="F62" s="3" t="s">
        <v>263</v>
      </c>
      <c r="G62" s="3" t="s">
        <v>264</v>
      </c>
      <c r="H62" s="3">
        <v>0</v>
      </c>
      <c r="I62" s="7">
        <v>2116</v>
      </c>
      <c r="J62" s="5">
        <v>276</v>
      </c>
      <c r="K62" s="5">
        <v>1</v>
      </c>
      <c r="L62" s="12" t="s">
        <v>34</v>
      </c>
      <c r="M62" s="3" t="s">
        <v>28</v>
      </c>
      <c r="N62" s="3"/>
      <c r="O62" s="12" t="s">
        <v>35</v>
      </c>
    </row>
    <row r="63" spans="1:15" x14ac:dyDescent="0.25">
      <c r="A63" s="5">
        <v>61</v>
      </c>
      <c r="B63" s="3" t="s">
        <v>135</v>
      </c>
      <c r="C63" s="3" t="s">
        <v>66</v>
      </c>
      <c r="D63" s="3" t="s">
        <v>114</v>
      </c>
      <c r="E63" s="3" t="s">
        <v>75</v>
      </c>
      <c r="F63" s="3" t="s">
        <v>265</v>
      </c>
      <c r="G63" s="3" t="s">
        <v>266</v>
      </c>
      <c r="H63" s="3" t="s">
        <v>265</v>
      </c>
      <c r="I63" s="7">
        <v>2120</v>
      </c>
      <c r="J63" s="5">
        <v>512</v>
      </c>
      <c r="K63" s="5">
        <v>6</v>
      </c>
      <c r="L63" s="12" t="s">
        <v>18</v>
      </c>
      <c r="M63" s="3" t="s">
        <v>19</v>
      </c>
      <c r="N63" s="3" t="s">
        <v>42</v>
      </c>
      <c r="O63" s="12" t="s">
        <v>29</v>
      </c>
    </row>
    <row r="64" spans="1:15" x14ac:dyDescent="0.25">
      <c r="A64" s="5">
        <v>62</v>
      </c>
      <c r="B64" s="3" t="s">
        <v>135</v>
      </c>
      <c r="C64" s="3" t="s">
        <v>69</v>
      </c>
      <c r="D64" s="3" t="s">
        <v>73</v>
      </c>
      <c r="E64" s="3" t="s">
        <v>120</v>
      </c>
      <c r="F64" s="3" t="s">
        <v>121</v>
      </c>
      <c r="G64" s="3" t="s">
        <v>267</v>
      </c>
      <c r="H64" s="3">
        <v>0</v>
      </c>
      <c r="I64" s="7">
        <v>2135</v>
      </c>
      <c r="J64" s="5">
        <v>285</v>
      </c>
      <c r="K64" s="5">
        <v>14</v>
      </c>
      <c r="L64" s="12" t="s">
        <v>21</v>
      </c>
      <c r="M64" s="3" t="s">
        <v>22</v>
      </c>
      <c r="N64" s="3"/>
      <c r="O64" s="12" t="s">
        <v>23</v>
      </c>
    </row>
    <row r="65" spans="1:15" x14ac:dyDescent="0.25">
      <c r="A65" s="5">
        <v>63</v>
      </c>
      <c r="B65" s="3" t="s">
        <v>135</v>
      </c>
      <c r="C65" s="3" t="s">
        <v>69</v>
      </c>
      <c r="D65" s="3" t="s">
        <v>73</v>
      </c>
      <c r="E65" s="3" t="s">
        <v>94</v>
      </c>
      <c r="F65" s="3" t="s">
        <v>95</v>
      </c>
      <c r="G65" s="3" t="s">
        <v>268</v>
      </c>
      <c r="H65" s="3" t="s">
        <v>269</v>
      </c>
      <c r="I65" s="7">
        <v>2140</v>
      </c>
      <c r="J65" s="5">
        <v>478</v>
      </c>
      <c r="K65" s="5">
        <v>1</v>
      </c>
      <c r="L65" s="12" t="s">
        <v>36</v>
      </c>
      <c r="M65" s="3" t="s">
        <v>22</v>
      </c>
      <c r="N65" s="3"/>
      <c r="O65" s="12" t="s">
        <v>44</v>
      </c>
    </row>
    <row r="66" spans="1:15" x14ac:dyDescent="0.25">
      <c r="A66" s="5">
        <v>64</v>
      </c>
      <c r="B66" s="3" t="s">
        <v>135</v>
      </c>
      <c r="C66" s="3" t="s">
        <v>69</v>
      </c>
      <c r="D66" s="3" t="s">
        <v>73</v>
      </c>
      <c r="E66" s="3" t="s">
        <v>94</v>
      </c>
      <c r="F66" s="3" t="s">
        <v>270</v>
      </c>
      <c r="G66" s="3" t="s">
        <v>271</v>
      </c>
      <c r="H66" s="3" t="s">
        <v>270</v>
      </c>
      <c r="I66" s="7">
        <v>2145</v>
      </c>
      <c r="J66" s="5">
        <v>397</v>
      </c>
      <c r="K66" s="5">
        <v>3</v>
      </c>
      <c r="L66" s="12" t="s">
        <v>21</v>
      </c>
      <c r="M66" s="3" t="s">
        <v>22</v>
      </c>
      <c r="N66" s="3"/>
      <c r="O66" s="12" t="s">
        <v>23</v>
      </c>
    </row>
    <row r="67" spans="1:15" x14ac:dyDescent="0.25">
      <c r="A67" s="5">
        <v>65</v>
      </c>
      <c r="B67" s="3" t="s">
        <v>135</v>
      </c>
      <c r="C67" s="3" t="s">
        <v>69</v>
      </c>
      <c r="D67" s="3" t="s">
        <v>151</v>
      </c>
      <c r="E67" s="3" t="s">
        <v>152</v>
      </c>
      <c r="F67" s="3" t="s">
        <v>272</v>
      </c>
      <c r="G67" s="3" t="s">
        <v>273</v>
      </c>
      <c r="H67" s="3" t="s">
        <v>244</v>
      </c>
      <c r="I67" s="7">
        <v>2147</v>
      </c>
      <c r="J67" s="5">
        <v>401</v>
      </c>
      <c r="K67" s="5">
        <v>1</v>
      </c>
      <c r="L67" s="12" t="s">
        <v>36</v>
      </c>
      <c r="M67" s="3" t="s">
        <v>22</v>
      </c>
      <c r="N67" s="3"/>
      <c r="O67" s="12" t="s">
        <v>44</v>
      </c>
    </row>
    <row r="68" spans="1:15" x14ac:dyDescent="0.25">
      <c r="A68" s="5">
        <v>66</v>
      </c>
      <c r="B68" s="3" t="s">
        <v>135</v>
      </c>
      <c r="C68" s="3" t="s">
        <v>69</v>
      </c>
      <c r="D68" s="3" t="s">
        <v>70</v>
      </c>
      <c r="E68" s="3" t="s">
        <v>84</v>
      </c>
      <c r="F68" s="3" t="s">
        <v>96</v>
      </c>
      <c r="G68" s="3" t="s">
        <v>274</v>
      </c>
      <c r="H68" s="3" t="s">
        <v>85</v>
      </c>
      <c r="I68" s="7">
        <v>2149</v>
      </c>
      <c r="J68" s="5">
        <v>923</v>
      </c>
      <c r="K68" s="5">
        <v>2</v>
      </c>
      <c r="L68" s="12" t="s">
        <v>18</v>
      </c>
      <c r="M68" s="3" t="s">
        <v>19</v>
      </c>
      <c r="N68" s="3"/>
      <c r="O68" s="12" t="s">
        <v>29</v>
      </c>
    </row>
    <row r="69" spans="1:15" ht="45" x14ac:dyDescent="0.25">
      <c r="A69" s="5">
        <v>67</v>
      </c>
      <c r="B69" s="3" t="s">
        <v>135</v>
      </c>
      <c r="C69" s="3" t="s">
        <v>66</v>
      </c>
      <c r="D69" s="3" t="s">
        <v>71</v>
      </c>
      <c r="E69" s="3" t="s">
        <v>72</v>
      </c>
      <c r="F69" s="3" t="s">
        <v>275</v>
      </c>
      <c r="G69" s="3" t="s">
        <v>276</v>
      </c>
      <c r="H69" s="3" t="s">
        <v>190</v>
      </c>
      <c r="I69" s="7">
        <v>2154</v>
      </c>
      <c r="J69" s="5">
        <v>1495</v>
      </c>
      <c r="K69" s="5">
        <v>1</v>
      </c>
      <c r="L69" s="12" t="s">
        <v>59</v>
      </c>
      <c r="M69" s="3" t="s">
        <v>15</v>
      </c>
      <c r="N69" s="3" t="s">
        <v>32</v>
      </c>
      <c r="O69" s="12" t="s">
        <v>410</v>
      </c>
    </row>
    <row r="70" spans="1:15" x14ac:dyDescent="0.25">
      <c r="A70" s="5">
        <v>68</v>
      </c>
      <c r="B70" s="3" t="s">
        <v>135</v>
      </c>
      <c r="C70" s="3" t="s">
        <v>66</v>
      </c>
      <c r="D70" s="3" t="s">
        <v>68</v>
      </c>
      <c r="E70" s="3" t="s">
        <v>102</v>
      </c>
      <c r="F70" s="3" t="s">
        <v>277</v>
      </c>
      <c r="G70" s="3" t="s">
        <v>278</v>
      </c>
      <c r="H70" s="3" t="s">
        <v>279</v>
      </c>
      <c r="I70" s="7">
        <v>2157</v>
      </c>
      <c r="J70" s="5">
        <v>396</v>
      </c>
      <c r="K70" s="5">
        <v>1</v>
      </c>
      <c r="L70" s="12" t="s">
        <v>60</v>
      </c>
      <c r="M70" s="3" t="s">
        <v>15</v>
      </c>
      <c r="N70" s="3" t="s">
        <v>61</v>
      </c>
      <c r="O70" s="12" t="s">
        <v>29</v>
      </c>
    </row>
    <row r="71" spans="1:15" x14ac:dyDescent="0.25">
      <c r="A71" s="5">
        <v>69</v>
      </c>
      <c r="B71" s="3" t="s">
        <v>135</v>
      </c>
      <c r="C71" s="3" t="s">
        <v>66</v>
      </c>
      <c r="D71" s="3" t="s">
        <v>114</v>
      </c>
      <c r="E71" s="3" t="s">
        <v>280</v>
      </c>
      <c r="F71" s="3" t="s">
        <v>281</v>
      </c>
      <c r="G71" s="3" t="s">
        <v>282</v>
      </c>
      <c r="H71" s="3" t="s">
        <v>283</v>
      </c>
      <c r="I71" s="7">
        <v>2159</v>
      </c>
      <c r="J71" s="5">
        <v>0</v>
      </c>
      <c r="K71" s="5">
        <v>2</v>
      </c>
      <c r="L71" s="12" t="s">
        <v>62</v>
      </c>
      <c r="M71" s="3" t="s">
        <v>15</v>
      </c>
      <c r="N71" s="3" t="s">
        <v>32</v>
      </c>
      <c r="O71" s="12" t="s">
        <v>409</v>
      </c>
    </row>
    <row r="72" spans="1:15" x14ac:dyDescent="0.25">
      <c r="A72" s="5">
        <v>70</v>
      </c>
      <c r="B72" s="3" t="s">
        <v>135</v>
      </c>
      <c r="C72" s="3" t="s">
        <v>66</v>
      </c>
      <c r="D72" s="3" t="s">
        <v>114</v>
      </c>
      <c r="E72" s="3" t="s">
        <v>284</v>
      </c>
      <c r="F72" s="3" t="s">
        <v>285</v>
      </c>
      <c r="G72" s="3" t="s">
        <v>286</v>
      </c>
      <c r="H72" s="3" t="s">
        <v>285</v>
      </c>
      <c r="I72" s="7">
        <v>2173</v>
      </c>
      <c r="J72" s="5">
        <v>195</v>
      </c>
      <c r="K72" s="5">
        <v>1</v>
      </c>
      <c r="L72" s="12" t="s">
        <v>18</v>
      </c>
      <c r="M72" s="3" t="s">
        <v>19</v>
      </c>
      <c r="N72" s="3" t="s">
        <v>42</v>
      </c>
      <c r="O72" s="12" t="s">
        <v>29</v>
      </c>
    </row>
    <row r="73" spans="1:15" x14ac:dyDescent="0.25">
      <c r="A73" s="5">
        <v>71</v>
      </c>
      <c r="B73" s="3" t="s">
        <v>135</v>
      </c>
      <c r="C73" s="3" t="s">
        <v>66</v>
      </c>
      <c r="D73" s="3" t="s">
        <v>114</v>
      </c>
      <c r="E73" s="3" t="s">
        <v>280</v>
      </c>
      <c r="F73" s="3" t="s">
        <v>287</v>
      </c>
      <c r="G73" s="3" t="s">
        <v>288</v>
      </c>
      <c r="H73" s="3" t="s">
        <v>289</v>
      </c>
      <c r="I73" s="7">
        <v>2174</v>
      </c>
      <c r="J73" s="5">
        <v>0</v>
      </c>
      <c r="K73" s="5">
        <v>1</v>
      </c>
      <c r="L73" s="12" t="s">
        <v>21</v>
      </c>
      <c r="M73" s="3" t="s">
        <v>22</v>
      </c>
      <c r="N73" s="3" t="s">
        <v>42</v>
      </c>
      <c r="O73" s="12" t="s">
        <v>23</v>
      </c>
    </row>
    <row r="74" spans="1:15" x14ac:dyDescent="0.25">
      <c r="A74" s="5">
        <v>72</v>
      </c>
      <c r="B74" s="3" t="s">
        <v>135</v>
      </c>
      <c r="C74" s="3" t="s">
        <v>66</v>
      </c>
      <c r="D74" s="3" t="s">
        <v>114</v>
      </c>
      <c r="E74" s="3" t="s">
        <v>280</v>
      </c>
      <c r="F74" s="3" t="s">
        <v>290</v>
      </c>
      <c r="G74" s="3" t="s">
        <v>291</v>
      </c>
      <c r="H74" s="3" t="s">
        <v>292</v>
      </c>
      <c r="I74" s="7">
        <v>2175</v>
      </c>
      <c r="J74" s="5">
        <v>70</v>
      </c>
      <c r="K74" s="5">
        <v>2</v>
      </c>
      <c r="L74" s="12" t="s">
        <v>21</v>
      </c>
      <c r="M74" s="3" t="s">
        <v>22</v>
      </c>
      <c r="N74" s="3" t="s">
        <v>30</v>
      </c>
      <c r="O74" s="12" t="s">
        <v>23</v>
      </c>
    </row>
    <row r="75" spans="1:15" x14ac:dyDescent="0.25">
      <c r="A75" s="5">
        <v>73</v>
      </c>
      <c r="B75" s="3" t="s">
        <v>135</v>
      </c>
      <c r="C75" s="3" t="s">
        <v>69</v>
      </c>
      <c r="D75" s="3" t="s">
        <v>73</v>
      </c>
      <c r="E75" s="3" t="s">
        <v>120</v>
      </c>
      <c r="F75" s="3" t="s">
        <v>123</v>
      </c>
      <c r="G75" s="3" t="s">
        <v>293</v>
      </c>
      <c r="H75" s="3">
        <v>0</v>
      </c>
      <c r="I75" s="7">
        <v>2181</v>
      </c>
      <c r="J75" s="5">
        <v>365</v>
      </c>
      <c r="K75" s="5">
        <v>2</v>
      </c>
      <c r="L75" s="12" t="s">
        <v>34</v>
      </c>
      <c r="M75" s="3" t="s">
        <v>28</v>
      </c>
      <c r="N75" s="3"/>
      <c r="O75" s="12" t="s">
        <v>35</v>
      </c>
    </row>
    <row r="76" spans="1:15" x14ac:dyDescent="0.25">
      <c r="A76" s="5">
        <v>74</v>
      </c>
      <c r="B76" s="3" t="s">
        <v>135</v>
      </c>
      <c r="C76" s="3" t="s">
        <v>69</v>
      </c>
      <c r="D76" s="3" t="s">
        <v>151</v>
      </c>
      <c r="E76" s="3" t="s">
        <v>152</v>
      </c>
      <c r="F76" s="3" t="s">
        <v>294</v>
      </c>
      <c r="G76" s="3" t="s">
        <v>295</v>
      </c>
      <c r="H76" s="3" t="s">
        <v>296</v>
      </c>
      <c r="I76" s="7">
        <v>2182</v>
      </c>
      <c r="J76" s="5">
        <v>538</v>
      </c>
      <c r="K76" s="5">
        <v>2</v>
      </c>
      <c r="L76" s="12" t="s">
        <v>36</v>
      </c>
      <c r="M76" s="3" t="s">
        <v>22</v>
      </c>
      <c r="N76" s="3"/>
      <c r="O76" s="12" t="s">
        <v>44</v>
      </c>
    </row>
    <row r="77" spans="1:15" x14ac:dyDescent="0.25">
      <c r="A77" s="5">
        <v>75</v>
      </c>
      <c r="B77" s="3" t="s">
        <v>135</v>
      </c>
      <c r="C77" s="3" t="s">
        <v>69</v>
      </c>
      <c r="D77" s="3" t="s">
        <v>151</v>
      </c>
      <c r="E77" s="3" t="s">
        <v>152</v>
      </c>
      <c r="F77" s="3" t="s">
        <v>294</v>
      </c>
      <c r="G77" s="3" t="s">
        <v>297</v>
      </c>
      <c r="H77" s="3" t="s">
        <v>212</v>
      </c>
      <c r="I77" s="7">
        <v>2183</v>
      </c>
      <c r="J77" s="5">
        <v>219</v>
      </c>
      <c r="K77" s="5">
        <v>3</v>
      </c>
      <c r="L77" s="12" t="s">
        <v>36</v>
      </c>
      <c r="M77" s="3" t="s">
        <v>22</v>
      </c>
      <c r="N77" s="3"/>
      <c r="O77" s="12" t="s">
        <v>44</v>
      </c>
    </row>
    <row r="78" spans="1:15" x14ac:dyDescent="0.25">
      <c r="A78" s="5">
        <v>76</v>
      </c>
      <c r="B78" s="3" t="s">
        <v>135</v>
      </c>
      <c r="C78" s="3" t="s">
        <v>69</v>
      </c>
      <c r="D78" s="3" t="s">
        <v>151</v>
      </c>
      <c r="E78" s="3" t="s">
        <v>152</v>
      </c>
      <c r="F78" s="3" t="s">
        <v>298</v>
      </c>
      <c r="G78" s="3" t="s">
        <v>299</v>
      </c>
      <c r="H78" s="3" t="s">
        <v>212</v>
      </c>
      <c r="I78" s="7">
        <v>2184</v>
      </c>
      <c r="J78" s="5">
        <v>6</v>
      </c>
      <c r="K78" s="5">
        <v>1</v>
      </c>
      <c r="L78" s="12" t="s">
        <v>36</v>
      </c>
      <c r="M78" s="3" t="s">
        <v>22</v>
      </c>
      <c r="N78" s="3"/>
      <c r="O78" s="12" t="s">
        <v>44</v>
      </c>
    </row>
    <row r="79" spans="1:15" x14ac:dyDescent="0.25">
      <c r="A79" s="5">
        <v>77</v>
      </c>
      <c r="B79" s="3" t="s">
        <v>135</v>
      </c>
      <c r="C79" s="3" t="s">
        <v>69</v>
      </c>
      <c r="D79" s="3" t="s">
        <v>151</v>
      </c>
      <c r="E79" s="3" t="s">
        <v>152</v>
      </c>
      <c r="F79" s="3" t="s">
        <v>300</v>
      </c>
      <c r="G79" s="3" t="s">
        <v>301</v>
      </c>
      <c r="H79" s="3" t="s">
        <v>212</v>
      </c>
      <c r="I79" s="7">
        <v>2186</v>
      </c>
      <c r="J79" s="5">
        <v>164</v>
      </c>
      <c r="K79" s="5">
        <v>1</v>
      </c>
      <c r="L79" s="12" t="s">
        <v>36</v>
      </c>
      <c r="M79" s="3" t="s">
        <v>22</v>
      </c>
      <c r="N79" s="3"/>
      <c r="O79" s="12" t="s">
        <v>44</v>
      </c>
    </row>
    <row r="80" spans="1:15" x14ac:dyDescent="0.25">
      <c r="A80" s="5">
        <v>78</v>
      </c>
      <c r="B80" s="3" t="s">
        <v>135</v>
      </c>
      <c r="C80" s="3" t="s">
        <v>66</v>
      </c>
      <c r="D80" s="3" t="s">
        <v>71</v>
      </c>
      <c r="E80" s="3" t="s">
        <v>81</v>
      </c>
      <c r="F80" s="3" t="s">
        <v>302</v>
      </c>
      <c r="G80" s="3" t="s">
        <v>303</v>
      </c>
      <c r="H80" s="3" t="s">
        <v>304</v>
      </c>
      <c r="I80" s="7">
        <v>2198</v>
      </c>
      <c r="J80" s="5">
        <v>765</v>
      </c>
      <c r="K80" s="5">
        <v>1</v>
      </c>
      <c r="L80" s="12" t="s">
        <v>18</v>
      </c>
      <c r="M80" s="3" t="s">
        <v>19</v>
      </c>
      <c r="N80" s="3" t="s">
        <v>24</v>
      </c>
      <c r="O80" s="12" t="s">
        <v>29</v>
      </c>
    </row>
    <row r="81" spans="1:15" x14ac:dyDescent="0.25">
      <c r="A81" s="5">
        <v>79</v>
      </c>
      <c r="B81" s="3" t="s">
        <v>135</v>
      </c>
      <c r="C81" s="3" t="s">
        <v>66</v>
      </c>
      <c r="D81" s="3" t="s">
        <v>71</v>
      </c>
      <c r="E81" s="3" t="s">
        <v>81</v>
      </c>
      <c r="F81" s="3" t="s">
        <v>305</v>
      </c>
      <c r="G81" s="3" t="s">
        <v>306</v>
      </c>
      <c r="H81" s="3" t="s">
        <v>81</v>
      </c>
      <c r="I81" s="7">
        <v>2201</v>
      </c>
      <c r="J81" s="5">
        <v>161</v>
      </c>
      <c r="K81" s="5">
        <v>1</v>
      </c>
      <c r="L81" s="12" t="s">
        <v>31</v>
      </c>
      <c r="M81" s="3" t="s">
        <v>22</v>
      </c>
      <c r="N81" s="3" t="s">
        <v>24</v>
      </c>
      <c r="O81" s="12" t="s">
        <v>23</v>
      </c>
    </row>
    <row r="82" spans="1:15" x14ac:dyDescent="0.25">
      <c r="A82" s="5">
        <v>80</v>
      </c>
      <c r="B82" s="3" t="s">
        <v>135</v>
      </c>
      <c r="C82" s="3" t="s">
        <v>66</v>
      </c>
      <c r="D82" s="3" t="s">
        <v>114</v>
      </c>
      <c r="E82" s="3" t="s">
        <v>83</v>
      </c>
      <c r="F82" s="3" t="s">
        <v>307</v>
      </c>
      <c r="G82" s="3" t="s">
        <v>308</v>
      </c>
      <c r="H82" s="3" t="s">
        <v>309</v>
      </c>
      <c r="I82" s="7">
        <v>2206</v>
      </c>
      <c r="J82" s="5">
        <v>359</v>
      </c>
      <c r="K82" s="5">
        <v>3</v>
      </c>
      <c r="L82" s="12" t="s">
        <v>18</v>
      </c>
      <c r="M82" s="3" t="s">
        <v>19</v>
      </c>
      <c r="N82" s="3" t="s">
        <v>63</v>
      </c>
      <c r="O82" s="12" t="s">
        <v>29</v>
      </c>
    </row>
    <row r="83" spans="1:15" x14ac:dyDescent="0.25">
      <c r="A83" s="5">
        <v>81</v>
      </c>
      <c r="B83" s="3" t="s">
        <v>135</v>
      </c>
      <c r="C83" s="3" t="s">
        <v>66</v>
      </c>
      <c r="D83" s="3" t="s">
        <v>114</v>
      </c>
      <c r="E83" s="3" t="s">
        <v>83</v>
      </c>
      <c r="F83" s="3" t="s">
        <v>310</v>
      </c>
      <c r="G83" s="3" t="s">
        <v>311</v>
      </c>
      <c r="H83" s="3" t="s">
        <v>310</v>
      </c>
      <c r="I83" s="7">
        <v>2207</v>
      </c>
      <c r="J83" s="5">
        <v>529</v>
      </c>
      <c r="K83" s="5">
        <v>1</v>
      </c>
      <c r="L83" s="12" t="s">
        <v>21</v>
      </c>
      <c r="M83" s="3" t="s">
        <v>22</v>
      </c>
      <c r="N83" s="3" t="s">
        <v>63</v>
      </c>
      <c r="O83" s="12" t="s">
        <v>23</v>
      </c>
    </row>
    <row r="84" spans="1:15" x14ac:dyDescent="0.25">
      <c r="A84" s="5">
        <v>82</v>
      </c>
      <c r="B84" s="3" t="s">
        <v>135</v>
      </c>
      <c r="C84" s="3" t="s">
        <v>69</v>
      </c>
      <c r="D84" s="3" t="s">
        <v>151</v>
      </c>
      <c r="E84" s="3" t="s">
        <v>152</v>
      </c>
      <c r="F84" s="3" t="s">
        <v>312</v>
      </c>
      <c r="G84" s="3" t="s">
        <v>313</v>
      </c>
      <c r="H84" s="3" t="s">
        <v>155</v>
      </c>
      <c r="I84" s="7">
        <v>2212</v>
      </c>
      <c r="J84" s="5">
        <v>136</v>
      </c>
      <c r="K84" s="5">
        <v>1</v>
      </c>
      <c r="L84" s="12" t="s">
        <v>36</v>
      </c>
      <c r="M84" s="3" t="s">
        <v>22</v>
      </c>
      <c r="N84" s="3"/>
      <c r="O84" s="12" t="s">
        <v>44</v>
      </c>
    </row>
    <row r="85" spans="1:15" x14ac:dyDescent="0.25">
      <c r="A85" s="5">
        <v>83</v>
      </c>
      <c r="B85" s="3" t="s">
        <v>135</v>
      </c>
      <c r="C85" s="3" t="s">
        <v>69</v>
      </c>
      <c r="D85" s="3" t="s">
        <v>151</v>
      </c>
      <c r="E85" s="3" t="s">
        <v>206</v>
      </c>
      <c r="F85" s="3" t="s">
        <v>314</v>
      </c>
      <c r="G85" s="3" t="s">
        <v>315</v>
      </c>
      <c r="H85" s="3" t="s">
        <v>128</v>
      </c>
      <c r="I85" s="7">
        <v>2213</v>
      </c>
      <c r="J85" s="5">
        <v>848</v>
      </c>
      <c r="K85" s="5">
        <v>2</v>
      </c>
      <c r="L85" s="12" t="s">
        <v>36</v>
      </c>
      <c r="M85" s="3" t="s">
        <v>22</v>
      </c>
      <c r="N85" s="3"/>
      <c r="O85" s="12" t="s">
        <v>44</v>
      </c>
    </row>
    <row r="86" spans="1:15" x14ac:dyDescent="0.25">
      <c r="A86" s="5">
        <v>84</v>
      </c>
      <c r="B86" s="3" t="s">
        <v>135</v>
      </c>
      <c r="C86" s="3" t="s">
        <v>69</v>
      </c>
      <c r="D86" s="3" t="s">
        <v>73</v>
      </c>
      <c r="E86" s="3" t="s">
        <v>97</v>
      </c>
      <c r="F86" s="3" t="s">
        <v>124</v>
      </c>
      <c r="G86" s="3" t="s">
        <v>316</v>
      </c>
      <c r="H86" s="3" t="s">
        <v>317</v>
      </c>
      <c r="I86" s="7">
        <v>2216</v>
      </c>
      <c r="J86" s="5">
        <v>249</v>
      </c>
      <c r="K86" s="5">
        <v>1</v>
      </c>
      <c r="L86" s="12" t="s">
        <v>21</v>
      </c>
      <c r="M86" s="3" t="s">
        <v>22</v>
      </c>
      <c r="N86" s="3"/>
      <c r="O86" s="12" t="s">
        <v>23</v>
      </c>
    </row>
    <row r="87" spans="1:15" x14ac:dyDescent="0.25">
      <c r="A87" s="5">
        <v>85</v>
      </c>
      <c r="B87" s="3" t="s">
        <v>135</v>
      </c>
      <c r="C87" s="3" t="s">
        <v>69</v>
      </c>
      <c r="D87" s="3" t="s">
        <v>70</v>
      </c>
      <c r="E87" s="3" t="s">
        <v>116</v>
      </c>
      <c r="F87" s="3" t="s">
        <v>318</v>
      </c>
      <c r="G87" s="3" t="s">
        <v>319</v>
      </c>
      <c r="H87" s="3" t="s">
        <v>117</v>
      </c>
      <c r="I87" s="7">
        <v>2220</v>
      </c>
      <c r="J87" s="5">
        <v>426</v>
      </c>
      <c r="K87" s="5">
        <v>1</v>
      </c>
      <c r="L87" s="12" t="s">
        <v>21</v>
      </c>
      <c r="M87" s="3" t="s">
        <v>22</v>
      </c>
      <c r="N87" s="3"/>
      <c r="O87" s="12" t="s">
        <v>23</v>
      </c>
    </row>
    <row r="88" spans="1:15" x14ac:dyDescent="0.25">
      <c r="A88" s="5">
        <v>86</v>
      </c>
      <c r="B88" s="3" t="s">
        <v>135</v>
      </c>
      <c r="C88" s="3" t="s">
        <v>69</v>
      </c>
      <c r="D88" s="3" t="s">
        <v>73</v>
      </c>
      <c r="E88" s="3" t="s">
        <v>125</v>
      </c>
      <c r="F88" s="3" t="s">
        <v>126</v>
      </c>
      <c r="G88" s="3" t="s">
        <v>320</v>
      </c>
      <c r="H88" s="3" t="s">
        <v>321</v>
      </c>
      <c r="I88" s="7">
        <v>2224</v>
      </c>
      <c r="J88" s="5">
        <v>400</v>
      </c>
      <c r="K88" s="5">
        <v>1</v>
      </c>
      <c r="L88" s="12" t="s">
        <v>21</v>
      </c>
      <c r="M88" s="3" t="s">
        <v>22</v>
      </c>
      <c r="N88" s="3"/>
      <c r="O88" s="12" t="s">
        <v>23</v>
      </c>
    </row>
    <row r="89" spans="1:15" x14ac:dyDescent="0.25">
      <c r="A89" s="5">
        <v>87</v>
      </c>
      <c r="B89" s="3" t="s">
        <v>135</v>
      </c>
      <c r="C89" s="3" t="s">
        <v>69</v>
      </c>
      <c r="D89" s="3" t="s">
        <v>73</v>
      </c>
      <c r="E89" s="3" t="s">
        <v>94</v>
      </c>
      <c r="F89" s="3" t="s">
        <v>126</v>
      </c>
      <c r="G89" s="3" t="s">
        <v>322</v>
      </c>
      <c r="H89" s="3">
        <v>0</v>
      </c>
      <c r="I89" s="7">
        <v>2226</v>
      </c>
      <c r="J89" s="5">
        <v>238</v>
      </c>
      <c r="K89" s="5">
        <v>1</v>
      </c>
      <c r="L89" s="12" t="s">
        <v>21</v>
      </c>
      <c r="M89" s="3" t="s">
        <v>22</v>
      </c>
      <c r="N89" s="3"/>
      <c r="O89" s="12" t="s">
        <v>23</v>
      </c>
    </row>
    <row r="90" spans="1:15" x14ac:dyDescent="0.25">
      <c r="A90" s="5">
        <v>88</v>
      </c>
      <c r="B90" s="3" t="s">
        <v>135</v>
      </c>
      <c r="C90" s="3" t="s">
        <v>69</v>
      </c>
      <c r="D90" s="3" t="s">
        <v>73</v>
      </c>
      <c r="E90" s="3" t="s">
        <v>125</v>
      </c>
      <c r="F90" s="3" t="s">
        <v>126</v>
      </c>
      <c r="G90" s="3" t="s">
        <v>323</v>
      </c>
      <c r="H90" s="3" t="s">
        <v>128</v>
      </c>
      <c r="I90" s="7">
        <v>2228</v>
      </c>
      <c r="J90" s="5">
        <v>793</v>
      </c>
      <c r="K90" s="5">
        <v>3</v>
      </c>
      <c r="L90" s="12" t="s">
        <v>21</v>
      </c>
      <c r="M90" s="3" t="s">
        <v>22</v>
      </c>
      <c r="N90" s="3"/>
      <c r="O90" s="12" t="s">
        <v>23</v>
      </c>
    </row>
    <row r="91" spans="1:15" ht="30" x14ac:dyDescent="0.25">
      <c r="A91" s="5">
        <v>89</v>
      </c>
      <c r="B91" s="3" t="s">
        <v>135</v>
      </c>
      <c r="C91" s="3" t="s">
        <v>98</v>
      </c>
      <c r="D91" s="3" t="s">
        <v>99</v>
      </c>
      <c r="E91" s="3" t="s">
        <v>213</v>
      </c>
      <c r="F91" s="3" t="s">
        <v>324</v>
      </c>
      <c r="G91" s="3" t="s">
        <v>325</v>
      </c>
      <c r="H91" s="3" t="s">
        <v>326</v>
      </c>
      <c r="I91" s="7">
        <v>2236</v>
      </c>
      <c r="J91" s="5">
        <v>307</v>
      </c>
      <c r="K91" s="5">
        <v>2</v>
      </c>
      <c r="L91" s="12" t="s">
        <v>64</v>
      </c>
      <c r="M91" s="3" t="s">
        <v>15</v>
      </c>
      <c r="N91" s="3" t="s">
        <v>42</v>
      </c>
      <c r="O91" s="12" t="s">
        <v>412</v>
      </c>
    </row>
    <row r="92" spans="1:15" x14ac:dyDescent="0.25">
      <c r="A92" s="5">
        <v>90</v>
      </c>
      <c r="B92" s="3" t="s">
        <v>135</v>
      </c>
      <c r="C92" s="3" t="s">
        <v>66</v>
      </c>
      <c r="D92" s="3" t="s">
        <v>114</v>
      </c>
      <c r="E92" s="3" t="s">
        <v>80</v>
      </c>
      <c r="F92" s="3" t="s">
        <v>327</v>
      </c>
      <c r="G92" s="3" t="s">
        <v>328</v>
      </c>
      <c r="H92" s="3" t="s">
        <v>329</v>
      </c>
      <c r="I92" s="7">
        <v>2239</v>
      </c>
      <c r="J92" s="5">
        <v>482</v>
      </c>
      <c r="K92" s="5">
        <v>3</v>
      </c>
      <c r="L92" s="12" t="s">
        <v>18</v>
      </c>
      <c r="M92" s="3" t="s">
        <v>19</v>
      </c>
      <c r="N92" s="3" t="s">
        <v>41</v>
      </c>
      <c r="O92" s="12" t="s">
        <v>29</v>
      </c>
    </row>
    <row r="93" spans="1:15" x14ac:dyDescent="0.25">
      <c r="A93" s="5">
        <v>91</v>
      </c>
      <c r="B93" s="3" t="s">
        <v>135</v>
      </c>
      <c r="C93" s="3" t="s">
        <v>66</v>
      </c>
      <c r="D93" s="3" t="s">
        <v>68</v>
      </c>
      <c r="E93" s="3" t="s">
        <v>195</v>
      </c>
      <c r="F93" s="3" t="s">
        <v>330</v>
      </c>
      <c r="G93" s="3" t="s">
        <v>331</v>
      </c>
      <c r="H93" s="3" t="s">
        <v>330</v>
      </c>
      <c r="I93" s="7">
        <v>2243</v>
      </c>
      <c r="J93" s="5">
        <v>311</v>
      </c>
      <c r="K93" s="5">
        <v>1</v>
      </c>
      <c r="L93" s="12" t="s">
        <v>31</v>
      </c>
      <c r="M93" s="3" t="s">
        <v>22</v>
      </c>
      <c r="N93" s="3" t="s">
        <v>16</v>
      </c>
      <c r="O93" s="12" t="s">
        <v>23</v>
      </c>
    </row>
    <row r="94" spans="1:15" x14ac:dyDescent="0.25">
      <c r="A94" s="5">
        <v>92</v>
      </c>
      <c r="B94" s="3" t="s">
        <v>135</v>
      </c>
      <c r="C94" s="3" t="s">
        <v>98</v>
      </c>
      <c r="D94" s="3" t="s">
        <v>99</v>
      </c>
      <c r="E94" s="3" t="s">
        <v>100</v>
      </c>
      <c r="F94" s="3" t="s">
        <v>332</v>
      </c>
      <c r="G94" s="3" t="s">
        <v>333</v>
      </c>
      <c r="H94" s="3" t="s">
        <v>334</v>
      </c>
      <c r="I94" s="7">
        <v>2245</v>
      </c>
      <c r="J94" s="5">
        <v>55</v>
      </c>
      <c r="K94" s="5">
        <v>1</v>
      </c>
      <c r="L94" s="12" t="s">
        <v>21</v>
      </c>
      <c r="M94" s="3" t="s">
        <v>22</v>
      </c>
      <c r="N94" s="3" t="s">
        <v>37</v>
      </c>
      <c r="O94" s="12" t="s">
        <v>23</v>
      </c>
    </row>
    <row r="95" spans="1:15" x14ac:dyDescent="0.25">
      <c r="A95" s="5">
        <v>93</v>
      </c>
      <c r="B95" s="3" t="s">
        <v>135</v>
      </c>
      <c r="C95" s="3" t="s">
        <v>69</v>
      </c>
      <c r="D95" s="3" t="s">
        <v>73</v>
      </c>
      <c r="E95" s="3" t="s">
        <v>97</v>
      </c>
      <c r="F95" s="3" t="s">
        <v>101</v>
      </c>
      <c r="G95" s="3" t="s">
        <v>335</v>
      </c>
      <c r="H95" s="3" t="s">
        <v>97</v>
      </c>
      <c r="I95" s="7">
        <v>2249</v>
      </c>
      <c r="J95" s="5">
        <v>393</v>
      </c>
      <c r="K95" s="5">
        <v>1</v>
      </c>
      <c r="L95" s="12" t="s">
        <v>18</v>
      </c>
      <c r="M95" s="3" t="s">
        <v>19</v>
      </c>
      <c r="N95" s="3"/>
      <c r="O95" s="12" t="s">
        <v>29</v>
      </c>
    </row>
    <row r="96" spans="1:15" x14ac:dyDescent="0.25">
      <c r="A96" s="5">
        <v>94</v>
      </c>
      <c r="B96" s="3" t="s">
        <v>135</v>
      </c>
      <c r="C96" s="3" t="s">
        <v>69</v>
      </c>
      <c r="D96" s="3" t="s">
        <v>73</v>
      </c>
      <c r="E96" s="3" t="s">
        <v>97</v>
      </c>
      <c r="F96" s="3" t="s">
        <v>101</v>
      </c>
      <c r="G96" s="3" t="s">
        <v>336</v>
      </c>
      <c r="H96" s="3" t="s">
        <v>101</v>
      </c>
      <c r="I96" s="7">
        <v>2250</v>
      </c>
      <c r="J96" s="5">
        <v>225</v>
      </c>
      <c r="K96" s="5">
        <v>9</v>
      </c>
      <c r="L96" s="12" t="s">
        <v>21</v>
      </c>
      <c r="M96" s="3" t="s">
        <v>22</v>
      </c>
      <c r="N96" s="3"/>
      <c r="O96" s="12" t="s">
        <v>23</v>
      </c>
    </row>
    <row r="97" spans="1:15" x14ac:dyDescent="0.25">
      <c r="A97" s="5">
        <v>95</v>
      </c>
      <c r="B97" s="3" t="s">
        <v>135</v>
      </c>
      <c r="C97" s="3" t="s">
        <v>69</v>
      </c>
      <c r="D97" s="3" t="s">
        <v>70</v>
      </c>
      <c r="E97" s="3" t="s">
        <v>84</v>
      </c>
      <c r="F97" s="3" t="s">
        <v>337</v>
      </c>
      <c r="G97" s="3" t="s">
        <v>338</v>
      </c>
      <c r="H97" s="3" t="s">
        <v>337</v>
      </c>
      <c r="I97" s="7">
        <v>2260</v>
      </c>
      <c r="J97" s="5">
        <v>268</v>
      </c>
      <c r="K97" s="5">
        <v>1</v>
      </c>
      <c r="L97" s="12" t="s">
        <v>18</v>
      </c>
      <c r="M97" s="3" t="s">
        <v>19</v>
      </c>
      <c r="N97" s="3"/>
      <c r="O97" s="12" t="s">
        <v>29</v>
      </c>
    </row>
    <row r="98" spans="1:15" x14ac:dyDescent="0.25">
      <c r="A98" s="5">
        <v>96</v>
      </c>
      <c r="B98" s="3" t="s">
        <v>135</v>
      </c>
      <c r="C98" s="3" t="s">
        <v>69</v>
      </c>
      <c r="D98" s="3" t="s">
        <v>151</v>
      </c>
      <c r="E98" s="3" t="s">
        <v>86</v>
      </c>
      <c r="F98" s="3" t="s">
        <v>339</v>
      </c>
      <c r="G98" s="3" t="s">
        <v>340</v>
      </c>
      <c r="H98" s="3" t="s">
        <v>217</v>
      </c>
      <c r="I98" s="7">
        <v>2264</v>
      </c>
      <c r="J98" s="5">
        <v>894</v>
      </c>
      <c r="K98" s="5">
        <v>4</v>
      </c>
      <c r="L98" s="12" t="s">
        <v>36</v>
      </c>
      <c r="M98" s="3" t="s">
        <v>22</v>
      </c>
      <c r="N98" s="3"/>
      <c r="O98" s="12" t="s">
        <v>44</v>
      </c>
    </row>
    <row r="99" spans="1:15" x14ac:dyDescent="0.25">
      <c r="A99" s="5">
        <v>97</v>
      </c>
      <c r="B99" s="3" t="s">
        <v>135</v>
      </c>
      <c r="C99" s="3" t="s">
        <v>69</v>
      </c>
      <c r="D99" s="3" t="s">
        <v>151</v>
      </c>
      <c r="E99" s="3" t="s">
        <v>86</v>
      </c>
      <c r="F99" s="3" t="s">
        <v>339</v>
      </c>
      <c r="G99" s="3" t="s">
        <v>341</v>
      </c>
      <c r="H99" s="3" t="s">
        <v>217</v>
      </c>
      <c r="I99" s="7">
        <v>2265</v>
      </c>
      <c r="J99" s="5">
        <v>726</v>
      </c>
      <c r="K99" s="5">
        <v>1</v>
      </c>
      <c r="L99" s="12" t="s">
        <v>36</v>
      </c>
      <c r="M99" s="3" t="s">
        <v>22</v>
      </c>
      <c r="N99" s="3"/>
      <c r="O99" s="12" t="s">
        <v>44</v>
      </c>
    </row>
    <row r="100" spans="1:15" x14ac:dyDescent="0.25">
      <c r="A100" s="5">
        <v>98</v>
      </c>
      <c r="B100" s="3" t="s">
        <v>135</v>
      </c>
      <c r="C100" s="3" t="s">
        <v>69</v>
      </c>
      <c r="D100" s="3" t="s">
        <v>151</v>
      </c>
      <c r="E100" s="3" t="s">
        <v>342</v>
      </c>
      <c r="F100" s="3" t="s">
        <v>343</v>
      </c>
      <c r="G100" s="3" t="s">
        <v>344</v>
      </c>
      <c r="H100" s="3" t="s">
        <v>345</v>
      </c>
      <c r="I100" s="7">
        <v>2269</v>
      </c>
      <c r="J100" s="5">
        <v>369</v>
      </c>
      <c r="K100" s="5">
        <v>1</v>
      </c>
      <c r="L100" s="12" t="s">
        <v>36</v>
      </c>
      <c r="M100" s="3" t="s">
        <v>22</v>
      </c>
      <c r="N100" s="3"/>
      <c r="O100" s="12" t="s">
        <v>44</v>
      </c>
    </row>
    <row r="101" spans="1:15" x14ac:dyDescent="0.25">
      <c r="A101" s="5">
        <v>99</v>
      </c>
      <c r="B101" s="3" t="s">
        <v>135</v>
      </c>
      <c r="C101" s="3" t="s">
        <v>69</v>
      </c>
      <c r="D101" s="3" t="s">
        <v>151</v>
      </c>
      <c r="E101" s="3" t="s">
        <v>152</v>
      </c>
      <c r="F101" s="3" t="s">
        <v>343</v>
      </c>
      <c r="G101" s="3" t="s">
        <v>346</v>
      </c>
      <c r="H101" s="3" t="s">
        <v>244</v>
      </c>
      <c r="I101" s="7">
        <v>2270</v>
      </c>
      <c r="J101" s="5">
        <v>205</v>
      </c>
      <c r="K101" s="5">
        <v>1</v>
      </c>
      <c r="L101" s="12" t="s">
        <v>36</v>
      </c>
      <c r="M101" s="3" t="s">
        <v>22</v>
      </c>
      <c r="N101" s="3"/>
      <c r="O101" s="12" t="s">
        <v>44</v>
      </c>
    </row>
    <row r="102" spans="1:15" x14ac:dyDescent="0.25">
      <c r="A102" s="5">
        <v>100</v>
      </c>
      <c r="B102" s="3" t="s">
        <v>135</v>
      </c>
      <c r="C102" s="3" t="s">
        <v>69</v>
      </c>
      <c r="D102" s="3" t="s">
        <v>73</v>
      </c>
      <c r="E102" s="3" t="s">
        <v>119</v>
      </c>
      <c r="F102" s="3" t="s">
        <v>347</v>
      </c>
      <c r="G102" s="3" t="s">
        <v>348</v>
      </c>
      <c r="H102" s="3">
        <v>0</v>
      </c>
      <c r="I102" s="7">
        <v>2288</v>
      </c>
      <c r="J102" s="5">
        <v>0</v>
      </c>
      <c r="K102" s="5">
        <v>1</v>
      </c>
      <c r="L102" s="12" t="s">
        <v>18</v>
      </c>
      <c r="M102" s="3" t="s">
        <v>19</v>
      </c>
      <c r="N102" s="3"/>
      <c r="O102" s="12" t="s">
        <v>29</v>
      </c>
    </row>
    <row r="103" spans="1:15" x14ac:dyDescent="0.25">
      <c r="A103" s="5">
        <v>101</v>
      </c>
      <c r="B103" s="3" t="s">
        <v>135</v>
      </c>
      <c r="C103" s="3" t="s">
        <v>69</v>
      </c>
      <c r="D103" s="3" t="s">
        <v>151</v>
      </c>
      <c r="E103" s="3" t="s">
        <v>152</v>
      </c>
      <c r="F103" s="3" t="s">
        <v>349</v>
      </c>
      <c r="G103" s="3" t="s">
        <v>350</v>
      </c>
      <c r="H103" s="3" t="s">
        <v>155</v>
      </c>
      <c r="I103" s="7">
        <v>2290</v>
      </c>
      <c r="J103" s="5">
        <v>217</v>
      </c>
      <c r="K103" s="5">
        <v>1</v>
      </c>
      <c r="L103" s="12" t="s">
        <v>25</v>
      </c>
      <c r="M103" s="3" t="s">
        <v>15</v>
      </c>
      <c r="N103" s="3"/>
      <c r="O103" s="12" t="s">
        <v>413</v>
      </c>
    </row>
    <row r="104" spans="1:15" x14ac:dyDescent="0.25">
      <c r="A104" s="5">
        <v>102</v>
      </c>
      <c r="B104" s="3" t="s">
        <v>135</v>
      </c>
      <c r="C104" s="3" t="s">
        <v>69</v>
      </c>
      <c r="D104" s="3" t="s">
        <v>73</v>
      </c>
      <c r="E104" s="3" t="s">
        <v>119</v>
      </c>
      <c r="F104" s="3" t="s">
        <v>351</v>
      </c>
      <c r="G104" s="3" t="s">
        <v>352</v>
      </c>
      <c r="H104" s="3" t="s">
        <v>353</v>
      </c>
      <c r="I104" s="7">
        <v>2292</v>
      </c>
      <c r="J104" s="5">
        <v>0</v>
      </c>
      <c r="K104" s="5">
        <v>1</v>
      </c>
      <c r="L104" s="12" t="s">
        <v>18</v>
      </c>
      <c r="M104" s="3" t="s">
        <v>19</v>
      </c>
      <c r="N104" s="3"/>
      <c r="O104" s="12" t="s">
        <v>29</v>
      </c>
    </row>
    <row r="105" spans="1:15" x14ac:dyDescent="0.25">
      <c r="A105" s="5">
        <v>103</v>
      </c>
      <c r="B105" s="3" t="s">
        <v>135</v>
      </c>
      <c r="C105" s="3" t="s">
        <v>69</v>
      </c>
      <c r="D105" s="3" t="s">
        <v>73</v>
      </c>
      <c r="E105" s="3" t="s">
        <v>125</v>
      </c>
      <c r="F105" s="3" t="s">
        <v>127</v>
      </c>
      <c r="G105" s="3" t="s">
        <v>354</v>
      </c>
      <c r="H105" s="3">
        <v>0</v>
      </c>
      <c r="I105" s="7">
        <v>2294</v>
      </c>
      <c r="J105" s="5">
        <v>372</v>
      </c>
      <c r="K105" s="5">
        <v>2</v>
      </c>
      <c r="L105" s="12" t="s">
        <v>25</v>
      </c>
      <c r="M105" s="3" t="s">
        <v>15</v>
      </c>
      <c r="N105" s="3"/>
      <c r="O105" s="12" t="s">
        <v>414</v>
      </c>
    </row>
    <row r="106" spans="1:15" x14ac:dyDescent="0.25">
      <c r="A106" s="5">
        <v>104</v>
      </c>
      <c r="B106" s="3" t="s">
        <v>135</v>
      </c>
      <c r="C106" s="3" t="s">
        <v>69</v>
      </c>
      <c r="D106" s="3" t="s">
        <v>73</v>
      </c>
      <c r="E106" s="3" t="s">
        <v>131</v>
      </c>
      <c r="F106" s="3" t="s">
        <v>355</v>
      </c>
      <c r="G106" s="3" t="s">
        <v>356</v>
      </c>
      <c r="H106" s="3" t="s">
        <v>132</v>
      </c>
      <c r="I106" s="7">
        <v>2298</v>
      </c>
      <c r="J106" s="5">
        <v>201</v>
      </c>
      <c r="K106" s="5">
        <v>3</v>
      </c>
      <c r="L106" s="12" t="s">
        <v>21</v>
      </c>
      <c r="M106" s="3" t="s">
        <v>22</v>
      </c>
      <c r="N106" s="3"/>
      <c r="O106" s="12" t="s">
        <v>23</v>
      </c>
    </row>
    <row r="107" spans="1:15" x14ac:dyDescent="0.25">
      <c r="A107" s="5">
        <v>105</v>
      </c>
      <c r="B107" s="3" t="s">
        <v>135</v>
      </c>
      <c r="C107" s="3" t="s">
        <v>69</v>
      </c>
      <c r="D107" s="3" t="s">
        <v>73</v>
      </c>
      <c r="E107" s="3" t="s">
        <v>119</v>
      </c>
      <c r="F107" s="3" t="s">
        <v>129</v>
      </c>
      <c r="G107" s="3" t="s">
        <v>357</v>
      </c>
      <c r="H107" s="3" t="s">
        <v>130</v>
      </c>
      <c r="I107" s="7">
        <v>2299</v>
      </c>
      <c r="J107" s="5">
        <v>194</v>
      </c>
      <c r="K107" s="5">
        <v>2</v>
      </c>
      <c r="L107" s="12" t="s">
        <v>18</v>
      </c>
      <c r="M107" s="3" t="s">
        <v>19</v>
      </c>
      <c r="N107" s="3"/>
      <c r="O107" s="12" t="s">
        <v>29</v>
      </c>
    </row>
    <row r="108" spans="1:15" x14ac:dyDescent="0.25">
      <c r="A108" s="5">
        <v>106</v>
      </c>
      <c r="B108" s="3" t="s">
        <v>135</v>
      </c>
      <c r="C108" s="3" t="s">
        <v>66</v>
      </c>
      <c r="D108" s="3" t="s">
        <v>114</v>
      </c>
      <c r="E108" s="3" t="s">
        <v>75</v>
      </c>
      <c r="F108" s="3" t="s">
        <v>358</v>
      </c>
      <c r="G108" s="3" t="s">
        <v>359</v>
      </c>
      <c r="H108" s="3" t="s">
        <v>360</v>
      </c>
      <c r="I108" s="7">
        <v>2304</v>
      </c>
      <c r="J108" s="5">
        <v>311</v>
      </c>
      <c r="K108" s="5">
        <v>5</v>
      </c>
      <c r="L108" s="12" t="s">
        <v>21</v>
      </c>
      <c r="M108" s="3" t="s">
        <v>22</v>
      </c>
      <c r="N108" s="3" t="s">
        <v>27</v>
      </c>
      <c r="O108" s="12" t="s">
        <v>23</v>
      </c>
    </row>
    <row r="109" spans="1:15" x14ac:dyDescent="0.25">
      <c r="A109" s="5">
        <v>107</v>
      </c>
      <c r="B109" s="3" t="s">
        <v>135</v>
      </c>
      <c r="C109" s="3" t="s">
        <v>69</v>
      </c>
      <c r="D109" s="3" t="s">
        <v>73</v>
      </c>
      <c r="E109" s="3" t="s">
        <v>125</v>
      </c>
      <c r="F109" s="3" t="s">
        <v>361</v>
      </c>
      <c r="G109" s="3" t="s">
        <v>362</v>
      </c>
      <c r="H109" s="3" t="s">
        <v>128</v>
      </c>
      <c r="I109" s="7">
        <v>2305</v>
      </c>
      <c r="J109" s="5">
        <v>4</v>
      </c>
      <c r="K109" s="5">
        <v>1</v>
      </c>
      <c r="L109" s="12" t="s">
        <v>25</v>
      </c>
      <c r="M109" s="3" t="s">
        <v>15</v>
      </c>
      <c r="N109" s="3"/>
      <c r="O109" s="12" t="s">
        <v>409</v>
      </c>
    </row>
    <row r="110" spans="1:15" x14ac:dyDescent="0.25">
      <c r="A110" s="5">
        <v>108</v>
      </c>
      <c r="B110" s="3" t="s">
        <v>135</v>
      </c>
      <c r="C110" s="3" t="s">
        <v>69</v>
      </c>
      <c r="D110" s="3" t="s">
        <v>73</v>
      </c>
      <c r="E110" s="3" t="s">
        <v>125</v>
      </c>
      <c r="F110" s="3" t="s">
        <v>363</v>
      </c>
      <c r="G110" s="3" t="s">
        <v>364</v>
      </c>
      <c r="H110" s="3" t="s">
        <v>353</v>
      </c>
      <c r="I110" s="7">
        <v>2308</v>
      </c>
      <c r="J110" s="5">
        <v>272</v>
      </c>
      <c r="K110" s="5">
        <v>3</v>
      </c>
      <c r="L110" s="12" t="s">
        <v>21</v>
      </c>
      <c r="M110" s="3" t="s">
        <v>22</v>
      </c>
      <c r="N110" s="3"/>
      <c r="O110" s="12" t="s">
        <v>23</v>
      </c>
    </row>
    <row r="111" spans="1:15" x14ac:dyDescent="0.25">
      <c r="A111" s="5">
        <v>109</v>
      </c>
      <c r="B111" s="3" t="s">
        <v>135</v>
      </c>
      <c r="C111" s="3" t="s">
        <v>69</v>
      </c>
      <c r="D111" s="3" t="s">
        <v>73</v>
      </c>
      <c r="E111" s="3" t="s">
        <v>125</v>
      </c>
      <c r="F111" s="3" t="s">
        <v>363</v>
      </c>
      <c r="G111" s="3" t="s">
        <v>365</v>
      </c>
      <c r="H111" s="3" t="s">
        <v>353</v>
      </c>
      <c r="I111" s="7">
        <v>2311</v>
      </c>
      <c r="J111" s="5">
        <v>339</v>
      </c>
      <c r="K111" s="5">
        <v>8</v>
      </c>
      <c r="L111" s="12" t="s">
        <v>34</v>
      </c>
      <c r="M111" s="3" t="s">
        <v>28</v>
      </c>
      <c r="N111" s="3"/>
      <c r="O111" s="12" t="s">
        <v>35</v>
      </c>
    </row>
    <row r="112" spans="1:15" x14ac:dyDescent="0.25">
      <c r="A112" s="5">
        <v>110</v>
      </c>
      <c r="B112" s="3" t="s">
        <v>135</v>
      </c>
      <c r="C112" s="3" t="s">
        <v>69</v>
      </c>
      <c r="D112" s="3" t="s">
        <v>73</v>
      </c>
      <c r="E112" s="3" t="s">
        <v>131</v>
      </c>
      <c r="F112" s="3" t="s">
        <v>366</v>
      </c>
      <c r="G112" s="3" t="s">
        <v>367</v>
      </c>
      <c r="H112" s="3">
        <v>0</v>
      </c>
      <c r="I112" s="7">
        <v>2316</v>
      </c>
      <c r="J112" s="5">
        <v>1706</v>
      </c>
      <c r="K112" s="5">
        <v>1</v>
      </c>
      <c r="L112" s="12" t="s">
        <v>18</v>
      </c>
      <c r="M112" s="3" t="s">
        <v>19</v>
      </c>
      <c r="N112" s="3"/>
      <c r="O112" s="12" t="s">
        <v>29</v>
      </c>
    </row>
    <row r="113" spans="1:15" x14ac:dyDescent="0.25">
      <c r="A113" s="5">
        <v>111</v>
      </c>
      <c r="B113" s="3" t="s">
        <v>135</v>
      </c>
      <c r="C113" s="3" t="s">
        <v>69</v>
      </c>
      <c r="D113" s="3" t="s">
        <v>73</v>
      </c>
      <c r="E113" s="3" t="s">
        <v>131</v>
      </c>
      <c r="F113" s="3" t="s">
        <v>366</v>
      </c>
      <c r="G113" s="3" t="s">
        <v>368</v>
      </c>
      <c r="H113" s="3">
        <v>0</v>
      </c>
      <c r="I113" s="7">
        <v>2317</v>
      </c>
      <c r="J113" s="5">
        <v>838</v>
      </c>
      <c r="K113" s="5">
        <v>1</v>
      </c>
      <c r="L113" s="12" t="s">
        <v>36</v>
      </c>
      <c r="M113" s="3" t="s">
        <v>22</v>
      </c>
      <c r="N113" s="3"/>
      <c r="O113" s="12" t="s">
        <v>44</v>
      </c>
    </row>
    <row r="114" spans="1:15" x14ac:dyDescent="0.25">
      <c r="A114" s="5">
        <v>112</v>
      </c>
      <c r="B114" s="3" t="s">
        <v>135</v>
      </c>
      <c r="C114" s="3" t="s">
        <v>66</v>
      </c>
      <c r="D114" s="3" t="s">
        <v>114</v>
      </c>
      <c r="E114" s="3" t="s">
        <v>369</v>
      </c>
      <c r="F114" s="3" t="s">
        <v>370</v>
      </c>
      <c r="G114" s="3" t="s">
        <v>371</v>
      </c>
      <c r="H114" s="3" t="s">
        <v>369</v>
      </c>
      <c r="I114" s="7">
        <v>2324</v>
      </c>
      <c r="J114" s="5">
        <v>424</v>
      </c>
      <c r="K114" s="5">
        <v>1</v>
      </c>
      <c r="L114" s="12" t="s">
        <v>21</v>
      </c>
      <c r="M114" s="3" t="s">
        <v>22</v>
      </c>
      <c r="N114" s="3" t="s">
        <v>33</v>
      </c>
      <c r="O114" s="12" t="s">
        <v>23</v>
      </c>
    </row>
    <row r="115" spans="1:15" x14ac:dyDescent="0.25">
      <c r="A115" s="5">
        <v>113</v>
      </c>
      <c r="B115" s="3" t="s">
        <v>135</v>
      </c>
      <c r="C115" s="3" t="s">
        <v>66</v>
      </c>
      <c r="D115" s="3" t="s">
        <v>114</v>
      </c>
      <c r="E115" s="3" t="s">
        <v>280</v>
      </c>
      <c r="F115" s="3" t="s">
        <v>372</v>
      </c>
      <c r="G115" s="3" t="s">
        <v>373</v>
      </c>
      <c r="H115" s="3" t="s">
        <v>372</v>
      </c>
      <c r="I115" s="7">
        <v>2332</v>
      </c>
      <c r="J115" s="5">
        <v>440</v>
      </c>
      <c r="K115" s="5">
        <v>8</v>
      </c>
      <c r="L115" s="12" t="s">
        <v>21</v>
      </c>
      <c r="M115" s="3" t="s">
        <v>22</v>
      </c>
      <c r="N115" s="3" t="s">
        <v>41</v>
      </c>
      <c r="O115" s="12" t="s">
        <v>23</v>
      </c>
    </row>
    <row r="116" spans="1:15" ht="30" x14ac:dyDescent="0.25">
      <c r="A116" s="5">
        <v>114</v>
      </c>
      <c r="B116" s="3" t="s">
        <v>135</v>
      </c>
      <c r="C116" s="3" t="s">
        <v>98</v>
      </c>
      <c r="D116" s="3" t="s">
        <v>99</v>
      </c>
      <c r="E116" s="3" t="s">
        <v>106</v>
      </c>
      <c r="F116" s="3" t="s">
        <v>107</v>
      </c>
      <c r="G116" s="3" t="s">
        <v>374</v>
      </c>
      <c r="H116" s="3" t="s">
        <v>107</v>
      </c>
      <c r="I116" s="7">
        <v>2351</v>
      </c>
      <c r="J116" s="5">
        <v>495</v>
      </c>
      <c r="K116" s="5">
        <v>5</v>
      </c>
      <c r="L116" s="12" t="s">
        <v>40</v>
      </c>
      <c r="M116" s="3" t="s">
        <v>28</v>
      </c>
      <c r="N116" s="3" t="s">
        <v>37</v>
      </c>
      <c r="O116" s="12" t="s">
        <v>29</v>
      </c>
    </row>
    <row r="117" spans="1:15" ht="30" x14ac:dyDescent="0.25">
      <c r="A117" s="5">
        <v>115</v>
      </c>
      <c r="B117" s="3" t="s">
        <v>135</v>
      </c>
      <c r="C117" s="3" t="s">
        <v>98</v>
      </c>
      <c r="D117" s="3" t="s">
        <v>99</v>
      </c>
      <c r="E117" s="3" t="s">
        <v>106</v>
      </c>
      <c r="F117" s="3" t="s">
        <v>107</v>
      </c>
      <c r="G117" s="3" t="s">
        <v>375</v>
      </c>
      <c r="H117" s="3">
        <v>0</v>
      </c>
      <c r="I117" s="7">
        <v>2352</v>
      </c>
      <c r="J117" s="5">
        <v>375</v>
      </c>
      <c r="K117" s="5">
        <v>1</v>
      </c>
      <c r="L117" s="12" t="s">
        <v>40</v>
      </c>
      <c r="M117" s="3" t="s">
        <v>28</v>
      </c>
      <c r="N117" s="3" t="s">
        <v>37</v>
      </c>
      <c r="O117" s="12" t="s">
        <v>29</v>
      </c>
    </row>
    <row r="118" spans="1:15" ht="30" x14ac:dyDescent="0.25">
      <c r="A118" s="5">
        <v>116</v>
      </c>
      <c r="B118" s="3" t="s">
        <v>135</v>
      </c>
      <c r="C118" s="3" t="s">
        <v>98</v>
      </c>
      <c r="D118" s="3" t="s">
        <v>99</v>
      </c>
      <c r="E118" s="3" t="s">
        <v>106</v>
      </c>
      <c r="F118" s="3" t="s">
        <v>107</v>
      </c>
      <c r="G118" s="3" t="s">
        <v>376</v>
      </c>
      <c r="H118" s="3" t="s">
        <v>107</v>
      </c>
      <c r="I118" s="7">
        <v>2353</v>
      </c>
      <c r="J118" s="5">
        <v>199</v>
      </c>
      <c r="K118" s="5">
        <v>10</v>
      </c>
      <c r="L118" s="12" t="s">
        <v>40</v>
      </c>
      <c r="M118" s="3" t="s">
        <v>28</v>
      </c>
      <c r="N118" s="3" t="s">
        <v>37</v>
      </c>
      <c r="O118" s="12" t="s">
        <v>29</v>
      </c>
    </row>
    <row r="119" spans="1:15" ht="30" x14ac:dyDescent="0.25">
      <c r="A119" s="5">
        <v>117</v>
      </c>
      <c r="B119" s="3" t="s">
        <v>135</v>
      </c>
      <c r="C119" s="3" t="s">
        <v>98</v>
      </c>
      <c r="D119" s="3" t="s">
        <v>99</v>
      </c>
      <c r="E119" s="3" t="s">
        <v>106</v>
      </c>
      <c r="F119" s="3" t="s">
        <v>107</v>
      </c>
      <c r="G119" s="3" t="s">
        <v>377</v>
      </c>
      <c r="H119" s="3" t="s">
        <v>107</v>
      </c>
      <c r="I119" s="7">
        <v>2354</v>
      </c>
      <c r="J119" s="5">
        <v>177</v>
      </c>
      <c r="K119" s="5">
        <v>2</v>
      </c>
      <c r="L119" s="12" t="s">
        <v>40</v>
      </c>
      <c r="M119" s="3" t="s">
        <v>28</v>
      </c>
      <c r="N119" s="3" t="s">
        <v>37</v>
      </c>
      <c r="O119" s="12" t="s">
        <v>29</v>
      </c>
    </row>
    <row r="120" spans="1:15" ht="30" x14ac:dyDescent="0.25">
      <c r="A120" s="5">
        <v>118</v>
      </c>
      <c r="B120" s="3" t="s">
        <v>135</v>
      </c>
      <c r="C120" s="3" t="s">
        <v>98</v>
      </c>
      <c r="D120" s="3" t="s">
        <v>99</v>
      </c>
      <c r="E120" s="3" t="s">
        <v>106</v>
      </c>
      <c r="F120" s="3" t="s">
        <v>107</v>
      </c>
      <c r="G120" s="3" t="s">
        <v>378</v>
      </c>
      <c r="H120" s="3" t="s">
        <v>107</v>
      </c>
      <c r="I120" s="7">
        <v>2355</v>
      </c>
      <c r="J120" s="5">
        <v>447</v>
      </c>
      <c r="K120" s="5">
        <v>4</v>
      </c>
      <c r="L120" s="12" t="s">
        <v>40</v>
      </c>
      <c r="M120" s="3" t="s">
        <v>28</v>
      </c>
      <c r="N120" s="3" t="s">
        <v>37</v>
      </c>
      <c r="O120" s="12" t="s">
        <v>29</v>
      </c>
    </row>
    <row r="121" spans="1:15" x14ac:dyDescent="0.25">
      <c r="A121" s="5">
        <v>119</v>
      </c>
      <c r="B121" s="3" t="s">
        <v>135</v>
      </c>
      <c r="C121" s="3" t="s">
        <v>66</v>
      </c>
      <c r="D121" s="3" t="s">
        <v>68</v>
      </c>
      <c r="E121" s="3" t="s">
        <v>79</v>
      </c>
      <c r="F121" s="3" t="s">
        <v>379</v>
      </c>
      <c r="G121" s="3" t="s">
        <v>380</v>
      </c>
      <c r="H121" s="3" t="s">
        <v>381</v>
      </c>
      <c r="I121" s="7">
        <v>2361</v>
      </c>
      <c r="J121" s="5">
        <v>1232</v>
      </c>
      <c r="K121" s="5">
        <v>1</v>
      </c>
      <c r="L121" s="12" t="s">
        <v>18</v>
      </c>
      <c r="M121" s="3" t="s">
        <v>19</v>
      </c>
      <c r="N121" s="3" t="s">
        <v>16</v>
      </c>
      <c r="O121" s="12" t="s">
        <v>29</v>
      </c>
    </row>
    <row r="122" spans="1:15" x14ac:dyDescent="0.25">
      <c r="A122" s="5">
        <v>120</v>
      </c>
      <c r="B122" s="3" t="s">
        <v>135</v>
      </c>
      <c r="C122" s="3" t="s">
        <v>98</v>
      </c>
      <c r="D122" s="3" t="s">
        <v>99</v>
      </c>
      <c r="E122" s="3" t="s">
        <v>213</v>
      </c>
      <c r="F122" s="3" t="s">
        <v>382</v>
      </c>
      <c r="G122" s="3" t="s">
        <v>383</v>
      </c>
      <c r="H122" s="3" t="s">
        <v>326</v>
      </c>
      <c r="I122" s="7">
        <v>2386</v>
      </c>
      <c r="J122" s="5">
        <v>326</v>
      </c>
      <c r="K122" s="5">
        <v>1</v>
      </c>
      <c r="L122" s="12" t="s">
        <v>21</v>
      </c>
      <c r="M122" s="3" t="s">
        <v>22</v>
      </c>
      <c r="N122" s="3" t="s">
        <v>37</v>
      </c>
      <c r="O122" s="12" t="s">
        <v>23</v>
      </c>
    </row>
    <row r="123" spans="1:15" x14ac:dyDescent="0.25">
      <c r="A123" s="5">
        <v>121</v>
      </c>
      <c r="B123" s="3" t="s">
        <v>135</v>
      </c>
      <c r="C123" s="3" t="s">
        <v>66</v>
      </c>
      <c r="D123" s="3" t="s">
        <v>71</v>
      </c>
      <c r="E123" s="3" t="s">
        <v>171</v>
      </c>
      <c r="F123" s="3" t="s">
        <v>384</v>
      </c>
      <c r="G123" s="3" t="s">
        <v>385</v>
      </c>
      <c r="H123" s="3" t="s">
        <v>384</v>
      </c>
      <c r="I123" s="7">
        <v>2387</v>
      </c>
      <c r="J123" s="5">
        <v>253</v>
      </c>
      <c r="K123" s="5">
        <v>7</v>
      </c>
      <c r="L123" s="12" t="s">
        <v>21</v>
      </c>
      <c r="M123" s="3" t="s">
        <v>22</v>
      </c>
      <c r="N123" s="3" t="s">
        <v>24</v>
      </c>
      <c r="O123" s="12" t="s">
        <v>23</v>
      </c>
    </row>
    <row r="124" spans="1:15" x14ac:dyDescent="0.25">
      <c r="A124" s="5">
        <v>122</v>
      </c>
      <c r="B124" s="3" t="s">
        <v>135</v>
      </c>
      <c r="C124" s="3" t="s">
        <v>66</v>
      </c>
      <c r="D124" s="3" t="s">
        <v>71</v>
      </c>
      <c r="E124" s="3" t="s">
        <v>133</v>
      </c>
      <c r="F124" s="3" t="s">
        <v>134</v>
      </c>
      <c r="G124" s="3" t="s">
        <v>386</v>
      </c>
      <c r="H124" s="3" t="s">
        <v>134</v>
      </c>
      <c r="I124" s="7">
        <v>2400</v>
      </c>
      <c r="J124" s="5">
        <v>280</v>
      </c>
      <c r="K124" s="5">
        <v>1</v>
      </c>
      <c r="L124" s="12" t="s">
        <v>21</v>
      </c>
      <c r="M124" s="3" t="s">
        <v>22</v>
      </c>
      <c r="N124" s="3" t="s">
        <v>24</v>
      </c>
      <c r="O124" s="12" t="s">
        <v>23</v>
      </c>
    </row>
    <row r="125" spans="1:15" x14ac:dyDescent="0.25">
      <c r="A125" s="5">
        <v>123</v>
      </c>
      <c r="B125" s="3" t="s">
        <v>135</v>
      </c>
      <c r="C125" s="3" t="s">
        <v>66</v>
      </c>
      <c r="D125" s="3" t="s">
        <v>71</v>
      </c>
      <c r="E125" s="3" t="s">
        <v>133</v>
      </c>
      <c r="F125" s="3" t="s">
        <v>134</v>
      </c>
      <c r="G125" s="3" t="s">
        <v>387</v>
      </c>
      <c r="H125" s="3" t="s">
        <v>134</v>
      </c>
      <c r="I125" s="7">
        <v>2402</v>
      </c>
      <c r="J125" s="5">
        <v>460</v>
      </c>
      <c r="K125" s="5">
        <v>1</v>
      </c>
      <c r="L125" s="12" t="s">
        <v>21</v>
      </c>
      <c r="M125" s="3" t="s">
        <v>22</v>
      </c>
      <c r="N125" s="3" t="s">
        <v>24</v>
      </c>
      <c r="O125" s="12" t="s">
        <v>23</v>
      </c>
    </row>
    <row r="126" spans="1:15" x14ac:dyDescent="0.25">
      <c r="A126" s="5">
        <v>124</v>
      </c>
      <c r="B126" s="3" t="s">
        <v>135</v>
      </c>
      <c r="C126" s="3" t="s">
        <v>66</v>
      </c>
      <c r="D126" s="3" t="s">
        <v>71</v>
      </c>
      <c r="E126" s="3" t="s">
        <v>133</v>
      </c>
      <c r="F126" s="3" t="s">
        <v>134</v>
      </c>
      <c r="G126" s="3" t="s">
        <v>388</v>
      </c>
      <c r="H126" s="3" t="s">
        <v>134</v>
      </c>
      <c r="I126" s="7">
        <v>2403</v>
      </c>
      <c r="J126" s="5">
        <v>876</v>
      </c>
      <c r="K126" s="5">
        <v>1</v>
      </c>
      <c r="L126" s="12" t="s">
        <v>21</v>
      </c>
      <c r="M126" s="3" t="s">
        <v>22</v>
      </c>
      <c r="N126" s="3" t="s">
        <v>24</v>
      </c>
      <c r="O126" s="12" t="s">
        <v>23</v>
      </c>
    </row>
    <row r="127" spans="1:15" x14ac:dyDescent="0.25">
      <c r="A127" s="5">
        <v>125</v>
      </c>
      <c r="B127" s="3" t="s">
        <v>135</v>
      </c>
      <c r="C127" s="3" t="s">
        <v>66</v>
      </c>
      <c r="D127" s="3" t="s">
        <v>71</v>
      </c>
      <c r="E127" s="3" t="s">
        <v>171</v>
      </c>
      <c r="F127" s="3" t="s">
        <v>134</v>
      </c>
      <c r="G127" s="3" t="s">
        <v>389</v>
      </c>
      <c r="H127" s="3" t="s">
        <v>134</v>
      </c>
      <c r="I127" s="7">
        <v>2404</v>
      </c>
      <c r="J127" s="5">
        <v>610</v>
      </c>
      <c r="K127" s="5">
        <v>5</v>
      </c>
      <c r="L127" s="12" t="s">
        <v>21</v>
      </c>
      <c r="M127" s="3" t="s">
        <v>22</v>
      </c>
      <c r="N127" s="3" t="s">
        <v>24</v>
      </c>
      <c r="O127" s="12" t="s">
        <v>23</v>
      </c>
    </row>
    <row r="128" spans="1:15" x14ac:dyDescent="0.25">
      <c r="A128" s="5">
        <v>126</v>
      </c>
      <c r="B128" s="3" t="s">
        <v>135</v>
      </c>
      <c r="C128" s="3" t="s">
        <v>69</v>
      </c>
      <c r="D128" s="3" t="s">
        <v>70</v>
      </c>
      <c r="E128" s="3" t="s">
        <v>92</v>
      </c>
      <c r="F128" s="3" t="s">
        <v>118</v>
      </c>
      <c r="G128" s="3" t="s">
        <v>390</v>
      </c>
      <c r="H128" s="3">
        <v>0</v>
      </c>
      <c r="I128" s="7">
        <v>2407</v>
      </c>
      <c r="J128" s="5">
        <v>158</v>
      </c>
      <c r="K128" s="5">
        <v>1</v>
      </c>
      <c r="L128" s="12" t="s">
        <v>25</v>
      </c>
      <c r="M128" s="3" t="s">
        <v>15</v>
      </c>
      <c r="N128" s="3"/>
      <c r="O128" s="12" t="s">
        <v>415</v>
      </c>
    </row>
    <row r="129" spans="1:15" ht="30" x14ac:dyDescent="0.25">
      <c r="A129" s="5">
        <v>127</v>
      </c>
      <c r="B129" s="3" t="s">
        <v>135</v>
      </c>
      <c r="C129" s="3" t="s">
        <v>66</v>
      </c>
      <c r="D129" s="3" t="s">
        <v>114</v>
      </c>
      <c r="E129" s="3" t="s">
        <v>83</v>
      </c>
      <c r="F129" s="3" t="s">
        <v>109</v>
      </c>
      <c r="G129" s="3" t="s">
        <v>391</v>
      </c>
      <c r="H129" s="3" t="s">
        <v>110</v>
      </c>
      <c r="I129" s="7">
        <v>2408</v>
      </c>
      <c r="J129" s="5">
        <v>271</v>
      </c>
      <c r="K129" s="5">
        <v>1</v>
      </c>
      <c r="L129" s="12" t="s">
        <v>65</v>
      </c>
      <c r="M129" s="3" t="s">
        <v>43</v>
      </c>
      <c r="N129" s="3" t="s">
        <v>32</v>
      </c>
      <c r="O129" s="12" t="s">
        <v>416</v>
      </c>
    </row>
    <row r="130" spans="1:15" x14ac:dyDescent="0.25">
      <c r="A130" s="5">
        <v>128</v>
      </c>
      <c r="B130" s="3" t="s">
        <v>135</v>
      </c>
      <c r="C130" s="3" t="s">
        <v>69</v>
      </c>
      <c r="D130" s="3" t="s">
        <v>73</v>
      </c>
      <c r="E130" s="3" t="s">
        <v>97</v>
      </c>
      <c r="F130" s="3" t="s">
        <v>392</v>
      </c>
      <c r="G130" s="3" t="s">
        <v>393</v>
      </c>
      <c r="H130" s="3" t="s">
        <v>394</v>
      </c>
      <c r="I130" s="7">
        <v>2412</v>
      </c>
      <c r="J130" s="5">
        <v>312</v>
      </c>
      <c r="K130" s="5">
        <v>2</v>
      </c>
      <c r="L130" s="12" t="s">
        <v>18</v>
      </c>
      <c r="M130" s="3" t="s">
        <v>19</v>
      </c>
      <c r="N130" s="3"/>
      <c r="O130" s="12" t="s">
        <v>29</v>
      </c>
    </row>
    <row r="131" spans="1:15" x14ac:dyDescent="0.25">
      <c r="A131" s="5">
        <v>129</v>
      </c>
      <c r="B131" s="3" t="s">
        <v>135</v>
      </c>
      <c r="C131" s="3" t="s">
        <v>69</v>
      </c>
      <c r="D131" s="3" t="s">
        <v>73</v>
      </c>
      <c r="E131" s="3" t="s">
        <v>97</v>
      </c>
      <c r="F131" s="3" t="s">
        <v>111</v>
      </c>
      <c r="G131" s="3" t="s">
        <v>395</v>
      </c>
      <c r="H131" s="3">
        <v>0</v>
      </c>
      <c r="I131" s="7">
        <v>2414</v>
      </c>
      <c r="J131" s="5">
        <v>839</v>
      </c>
      <c r="K131" s="5">
        <v>2</v>
      </c>
      <c r="L131" s="12" t="s">
        <v>36</v>
      </c>
      <c r="M131" s="3" t="s">
        <v>22</v>
      </c>
      <c r="N131" s="3"/>
      <c r="O131" s="12" t="s">
        <v>44</v>
      </c>
    </row>
    <row r="132" spans="1:15" x14ac:dyDescent="0.25">
      <c r="A132" s="5">
        <v>130</v>
      </c>
      <c r="B132" s="3" t="s">
        <v>135</v>
      </c>
      <c r="C132" s="3" t="s">
        <v>69</v>
      </c>
      <c r="D132" s="3" t="s">
        <v>73</v>
      </c>
      <c r="E132" s="3" t="s">
        <v>97</v>
      </c>
      <c r="F132" s="3" t="s">
        <v>111</v>
      </c>
      <c r="G132" s="3" t="s">
        <v>396</v>
      </c>
      <c r="H132" s="3" t="s">
        <v>111</v>
      </c>
      <c r="I132" s="7">
        <v>2415</v>
      </c>
      <c r="J132" s="5">
        <v>704</v>
      </c>
      <c r="K132" s="5">
        <v>12</v>
      </c>
      <c r="L132" s="12" t="s">
        <v>36</v>
      </c>
      <c r="M132" s="3" t="s">
        <v>22</v>
      </c>
      <c r="N132" s="3"/>
      <c r="O132" s="12" t="s">
        <v>44</v>
      </c>
    </row>
    <row r="133" spans="1:15" x14ac:dyDescent="0.25">
      <c r="A133" s="5">
        <v>131</v>
      </c>
      <c r="B133" s="3" t="s">
        <v>135</v>
      </c>
      <c r="C133" s="3" t="s">
        <v>69</v>
      </c>
      <c r="D133" s="3" t="s">
        <v>151</v>
      </c>
      <c r="E133" s="3" t="s">
        <v>397</v>
      </c>
      <c r="F133" s="3" t="s">
        <v>398</v>
      </c>
      <c r="G133" s="3" t="s">
        <v>399</v>
      </c>
      <c r="H133" s="3" t="s">
        <v>398</v>
      </c>
      <c r="I133" s="7">
        <v>2418</v>
      </c>
      <c r="J133" s="5">
        <v>186</v>
      </c>
      <c r="K133" s="5">
        <v>1</v>
      </c>
      <c r="L133" s="12" t="s">
        <v>36</v>
      </c>
      <c r="M133" s="3" t="s">
        <v>22</v>
      </c>
      <c r="N133" s="3"/>
      <c r="O133" s="12" t="s">
        <v>44</v>
      </c>
    </row>
    <row r="134" spans="1:15" x14ac:dyDescent="0.25">
      <c r="A134" s="5">
        <v>132</v>
      </c>
      <c r="B134" s="3" t="s">
        <v>135</v>
      </c>
      <c r="C134" s="3" t="s">
        <v>69</v>
      </c>
      <c r="D134" s="3" t="s">
        <v>151</v>
      </c>
      <c r="E134" s="3" t="s">
        <v>152</v>
      </c>
      <c r="F134" s="3" t="s">
        <v>296</v>
      </c>
      <c r="G134" s="3" t="s">
        <v>400</v>
      </c>
      <c r="H134" s="3" t="s">
        <v>296</v>
      </c>
      <c r="I134" s="7">
        <v>2426</v>
      </c>
      <c r="J134" s="5">
        <v>221</v>
      </c>
      <c r="K134" s="5">
        <v>1</v>
      </c>
      <c r="L134" s="12" t="s">
        <v>36</v>
      </c>
      <c r="M134" s="3" t="s">
        <v>22</v>
      </c>
      <c r="N134" s="3"/>
      <c r="O134" s="12" t="s">
        <v>44</v>
      </c>
    </row>
    <row r="135" spans="1:15" x14ac:dyDescent="0.25">
      <c r="A135" s="5">
        <v>133</v>
      </c>
      <c r="B135" s="3" t="s">
        <v>135</v>
      </c>
      <c r="C135" s="3" t="s">
        <v>69</v>
      </c>
      <c r="D135" s="3" t="s">
        <v>151</v>
      </c>
      <c r="E135" s="3" t="s">
        <v>152</v>
      </c>
      <c r="F135" s="3" t="s">
        <v>296</v>
      </c>
      <c r="G135" s="3" t="s">
        <v>401</v>
      </c>
      <c r="H135" s="3" t="s">
        <v>296</v>
      </c>
      <c r="I135" s="7">
        <v>2427</v>
      </c>
      <c r="J135" s="5">
        <v>241</v>
      </c>
      <c r="K135" s="5">
        <v>1</v>
      </c>
      <c r="L135" s="12" t="s">
        <v>36</v>
      </c>
      <c r="M135" s="3" t="s">
        <v>22</v>
      </c>
      <c r="N135" s="3"/>
      <c r="O135" s="12" t="s">
        <v>44</v>
      </c>
    </row>
    <row r="136" spans="1:15" x14ac:dyDescent="0.25">
      <c r="A136" s="5">
        <v>134</v>
      </c>
      <c r="B136" s="3" t="s">
        <v>135</v>
      </c>
      <c r="C136" s="3" t="s">
        <v>69</v>
      </c>
      <c r="D136" s="3" t="s">
        <v>151</v>
      </c>
      <c r="E136" s="3" t="s">
        <v>152</v>
      </c>
      <c r="F136" s="3" t="s">
        <v>402</v>
      </c>
      <c r="G136" s="3" t="s">
        <v>403</v>
      </c>
      <c r="H136" s="3" t="s">
        <v>296</v>
      </c>
      <c r="I136" s="7">
        <v>2428</v>
      </c>
      <c r="J136" s="5">
        <v>325</v>
      </c>
      <c r="K136" s="5">
        <v>1</v>
      </c>
      <c r="L136" s="12" t="s">
        <v>36</v>
      </c>
      <c r="M136" s="3" t="s">
        <v>22</v>
      </c>
      <c r="N136" s="3"/>
      <c r="O136" s="12" t="s">
        <v>44</v>
      </c>
    </row>
    <row r="137" spans="1:15" x14ac:dyDescent="0.25">
      <c r="A137" s="5">
        <v>135</v>
      </c>
      <c r="B137" s="3" t="s">
        <v>135</v>
      </c>
      <c r="C137" s="3" t="s">
        <v>69</v>
      </c>
      <c r="D137" s="3" t="s">
        <v>151</v>
      </c>
      <c r="E137" s="3" t="s">
        <v>152</v>
      </c>
      <c r="F137" s="3" t="s">
        <v>402</v>
      </c>
      <c r="G137" s="3" t="s">
        <v>404</v>
      </c>
      <c r="H137" s="3" t="s">
        <v>296</v>
      </c>
      <c r="I137" s="7">
        <v>2429</v>
      </c>
      <c r="J137" s="5">
        <v>321</v>
      </c>
      <c r="K137" s="5">
        <v>1</v>
      </c>
      <c r="L137" s="12" t="s">
        <v>36</v>
      </c>
      <c r="M137" s="3" t="s">
        <v>22</v>
      </c>
      <c r="N137" s="3"/>
      <c r="O137" s="12" t="s">
        <v>44</v>
      </c>
    </row>
    <row r="138" spans="1:15" x14ac:dyDescent="0.25">
      <c r="A138" s="5">
        <v>136</v>
      </c>
      <c r="B138" s="3" t="s">
        <v>135</v>
      </c>
      <c r="C138" s="3" t="s">
        <v>69</v>
      </c>
      <c r="D138" s="3" t="s">
        <v>70</v>
      </c>
      <c r="E138" s="3" t="s">
        <v>92</v>
      </c>
      <c r="F138" s="3" t="s">
        <v>112</v>
      </c>
      <c r="G138" s="3" t="s">
        <v>405</v>
      </c>
      <c r="H138" s="3" t="s">
        <v>112</v>
      </c>
      <c r="I138" s="7">
        <v>2431</v>
      </c>
      <c r="J138" s="5">
        <v>388</v>
      </c>
      <c r="K138" s="5">
        <v>5</v>
      </c>
      <c r="L138" s="12" t="s">
        <v>36</v>
      </c>
      <c r="M138" s="3" t="s">
        <v>22</v>
      </c>
      <c r="N138" s="3"/>
      <c r="O138" s="12" t="s">
        <v>44</v>
      </c>
    </row>
    <row r="139" spans="1:15" x14ac:dyDescent="0.25">
      <c r="A139" s="5">
        <v>137</v>
      </c>
      <c r="B139" s="3" t="s">
        <v>135</v>
      </c>
      <c r="C139" s="3" t="s">
        <v>69</v>
      </c>
      <c r="D139" s="3" t="s">
        <v>70</v>
      </c>
      <c r="E139" s="3" t="s">
        <v>92</v>
      </c>
      <c r="F139" s="3" t="s">
        <v>112</v>
      </c>
      <c r="G139" s="3" t="s">
        <v>406</v>
      </c>
      <c r="H139" s="3" t="s">
        <v>254</v>
      </c>
      <c r="I139" s="7">
        <v>2432</v>
      </c>
      <c r="J139" s="5">
        <v>499</v>
      </c>
      <c r="K139" s="5">
        <v>6</v>
      </c>
      <c r="L139" s="12" t="s">
        <v>34</v>
      </c>
      <c r="M139" s="3" t="s">
        <v>28</v>
      </c>
      <c r="N139" s="3"/>
      <c r="O139" s="12" t="s">
        <v>35</v>
      </c>
    </row>
    <row r="140" spans="1:15" x14ac:dyDescent="0.25">
      <c r="A140" s="5">
        <v>138</v>
      </c>
      <c r="B140" s="3" t="s">
        <v>135</v>
      </c>
      <c r="C140" s="3" t="s">
        <v>69</v>
      </c>
      <c r="D140" s="3" t="s">
        <v>73</v>
      </c>
      <c r="E140" s="3" t="s">
        <v>125</v>
      </c>
      <c r="F140" s="3" t="s">
        <v>407</v>
      </c>
      <c r="G140" s="3" t="s">
        <v>408</v>
      </c>
      <c r="H140" s="3">
        <v>0</v>
      </c>
      <c r="I140" s="7">
        <v>2434</v>
      </c>
      <c r="J140" s="5">
        <v>265</v>
      </c>
      <c r="K140" s="5">
        <v>1</v>
      </c>
      <c r="L140" s="12" t="s">
        <v>18</v>
      </c>
      <c r="M140" s="3" t="s">
        <v>19</v>
      </c>
      <c r="N140" s="3"/>
      <c r="O140" s="12" t="s">
        <v>29</v>
      </c>
    </row>
  </sheetData>
  <autoFilter ref="A2:O140" xr:uid="{4141EA87-E69C-4C85-AAD7-87EFA54C95D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OUTLIERS TSA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 Yon</dc:creator>
  <cp:lastModifiedBy>jecki aprinaldi</cp:lastModifiedBy>
  <dcterms:created xsi:type="dcterms:W3CDTF">2026-08-11T03:24:13Z</dcterms:created>
  <dcterms:modified xsi:type="dcterms:W3CDTF">2026-08-22T03:02:49Z</dcterms:modified>
</cp:coreProperties>
</file>